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Findings" sheetId="2" state="visible" r:id="rId4"/>
    <sheet name="Vendors" sheetId="3" state="visible" r:id="rId5"/>
    <sheet name="Vendor_Aliases" sheetId="4" state="visible" r:id="rId6"/>
    <sheet name="POs" sheetId="5" state="visible" r:id="rId7"/>
    <sheet name="Invoices" sheetId="6" state="visible" r:id="rId8"/>
    <sheet name="Payments" sheetId="7" state="visible" r:id="rId9"/>
    <sheet name="Checks" sheetId="8" state="visible" r:id="rId10"/>
    <sheet name="Payment_Checks" sheetId="9" state="visible" r:id="rId11"/>
    <sheet name="Mapping_Checks" sheetId="10" state="visible" r:id="rId12"/>
    <sheet name="Issues_Summary" sheetId="11" state="visible" r:id="rId13"/>
    <sheet name="Vendor_Summary" sheetId="12" state="visible" r:id="rId14"/>
    <sheet name="Data_Dictionar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Bank file drops the hyphen on ~30% of refs (INV10041). Re-insert it so it matches InvoiceNo.</t>
        </r>
      </text>
    </comment>
  </commentList>
</comments>
</file>

<file path=xl/sharedStrings.xml><?xml version="1.0" encoding="utf-8"?>
<sst xmlns="http://schemas.openxmlformats.org/spreadsheetml/2006/main" count="1190" uniqueCount="507">
  <si>
    <t xml:space="preserve">Vendor Invoice Reconciliation – Print &amp; Post (synthetic data)</t>
  </si>
  <si>
    <t xml:space="preserve">Purpose: reconcile AP invoices against purchase orders, vendor master and bank payments; flag data-quality issues; summarize spend by vendor.</t>
  </si>
  <si>
    <t xml:space="preserve">As-of date (blue = input you may change):</t>
  </si>
  <si>
    <t xml:space="preserve">Sheets</t>
  </si>
  <si>
    <t xml:space="preserve">Findings – headline numbers, charts and recommendations.</t>
  </si>
  <si>
    <t xml:space="preserve">Vendors / POs / Payments / Invoices – cleaned source tables, produced by the Power Query scripts in /power_query.</t>
  </si>
  <si>
    <t xml:space="preserve">Vendor_Aliases – reference table mapping every vendor spelling seen in AP to a VendorID (data catalog).</t>
  </si>
  <si>
    <t xml:space="preserve">Checks – one row per invoice with lookup columns and validation flags (red fill = issue).</t>
  </si>
  <si>
    <t xml:space="preserve">Payment_Checks – flags payments that do not match any invoice.</t>
  </si>
  <si>
    <t xml:space="preserve">Mapping_Checks – flags gaps in the application / document-type / vendor map.</t>
  </si>
  <si>
    <t xml:space="preserve">Issues_Summary – count and dollar value of every issue type.</t>
  </si>
  <si>
    <t xml:space="preserve">Vendor_Summary – invoiced, paid, outstanding and issue counts per vendor.</t>
  </si>
  <si>
    <t xml:space="preserve">Data_Dictionary – every field, its source and its rule.</t>
  </si>
  <si>
    <t xml:space="preserve">Lookups use INDEX/MATCH so the file works in every Excel version (XLOOKUP equivalents are listed in the README).</t>
  </si>
  <si>
    <t xml:space="preserve">All data is synthetic, generated for practice. No real company data.</t>
  </si>
  <si>
    <t xml:space="preserve">Key findings (as of 2026-09-30)</t>
  </si>
  <si>
    <t xml:space="preserve">Invoice rows reviewed</t>
  </si>
  <si>
    <t xml:space="preserve">Invoices with at least one issue</t>
  </si>
  <si>
    <t xml:space="preserve">Share of invoices with an issue</t>
  </si>
  <si>
    <t xml:space="preserve">Invoiced total (excl. duplicates)</t>
  </si>
  <si>
    <t xml:space="preserve">Paid to date</t>
  </si>
  <si>
    <t xml:space="preserve">Outstanding</t>
  </si>
  <si>
    <t xml:space="preserve">Unpaid &amp; past due</t>
  </si>
  <si>
    <t xml:space="preserve">Duplicate invoices at risk of double payment</t>
  </si>
  <si>
    <t xml:space="preserve">Recommendations</t>
  </si>
  <si>
    <t xml:space="preserve">1. Block payment on the 4 duplicate invoices and ask AP to void them before the next payment run.</t>
  </si>
  <si>
    <t xml:space="preserve">2. Require a PO amendment before approving the 5 invoices that push 3 POs over their approved amount.</t>
  </si>
  <si>
    <t xml:space="preserve">3. Send the 5 invoices where net + tax does not equal the total back to vendors for correction.</t>
  </si>
  <si>
    <t xml:space="preserve">4. Review the 20 unpaid past-due invoices with AP; prioritize the largest balances in Vendor_Summary.</t>
  </si>
  <si>
    <t xml:space="preserve">5. Trace the 2 orphan payments and 2 short/over payments with Treasury.</t>
  </si>
  <si>
    <t xml:space="preserve">6. Decide whether the 2 vendors missing from the master should be onboarded; stop new work with the 2 inactive vendors still invoicing and still mapped (7 mapping rows).</t>
  </si>
  <si>
    <t xml:space="preserve">7. Prevent alias drift: replace free-text vendor entry in AP with a dropdown sourced from the vendor master.</t>
  </si>
  <si>
    <t xml:space="preserve">8. Fill the 5 missing mail vendors and 5 missing owners in the application / document-type map.</t>
  </si>
  <si>
    <t xml:space="preserve">VendorID</t>
  </si>
  <si>
    <t xml:space="preserve">VendorName</t>
  </si>
  <si>
    <t xml:space="preserve">Category</t>
  </si>
  <si>
    <t xml:space="preserve">PaymentTerms</t>
  </si>
  <si>
    <t xml:space="preserve">Status</t>
  </si>
  <si>
    <t xml:space="preserve">Province</t>
  </si>
  <si>
    <t xml:space="preserve">TaxRate</t>
  </si>
  <si>
    <t xml:space="preserve">TermDays</t>
  </si>
  <si>
    <t xml:space="preserve">Sales tax rate</t>
  </si>
  <si>
    <t xml:space="preserve">V001</t>
  </si>
  <si>
    <t xml:space="preserve">Northbridge Print Services</t>
  </si>
  <si>
    <t xml:space="preserve">Print</t>
  </si>
  <si>
    <t xml:space="preserve">Net30</t>
  </si>
  <si>
    <t xml:space="preserve">Active</t>
  </si>
  <si>
    <t xml:space="preserve">ON</t>
  </si>
  <si>
    <t xml:space="preserve">V002</t>
  </si>
  <si>
    <t xml:space="preserve">Maple Mailing Solutions</t>
  </si>
  <si>
    <t xml:space="preserve">Mail Processing</t>
  </si>
  <si>
    <t xml:space="preserve">QC</t>
  </si>
  <si>
    <t xml:space="preserve">V003</t>
  </si>
  <si>
    <t xml:space="preserve">Lakeshore Envelope Co.</t>
  </si>
  <si>
    <t xml:space="preserve">Envelope Supply</t>
  </si>
  <si>
    <t xml:space="preserve">Net45</t>
  </si>
  <si>
    <t xml:space="preserve">BC</t>
  </si>
  <si>
    <t xml:space="preserve">V004</t>
  </si>
  <si>
    <t xml:space="preserve">Summit Digital Print Inc.</t>
  </si>
  <si>
    <t xml:space="preserve">AB</t>
  </si>
  <si>
    <t xml:space="preserve">V005</t>
  </si>
  <si>
    <t xml:space="preserve">Harbourview Postage Ltd.</t>
  </si>
  <si>
    <t xml:space="preserve">Postage</t>
  </si>
  <si>
    <t xml:space="preserve">Net15</t>
  </si>
  <si>
    <t xml:space="preserve">V006</t>
  </si>
  <si>
    <t xml:space="preserve">Cedarline Paper Supply</t>
  </si>
  <si>
    <t xml:space="preserve">Paper</t>
  </si>
  <si>
    <t xml:space="preserve">Source: HST/GST/QST combined rates by province (2026), assumption for this exercise</t>
  </si>
  <si>
    <t xml:space="preserve">V007</t>
  </si>
  <si>
    <t xml:space="preserve">Redwood Document Services</t>
  </si>
  <si>
    <t xml:space="preserve">Inactive</t>
  </si>
  <si>
    <t xml:space="preserve">V008</t>
  </si>
  <si>
    <t xml:space="preserve">ClearPath Fulfillment</t>
  </si>
  <si>
    <t xml:space="preserve">Fulfillment</t>
  </si>
  <si>
    <t xml:space="preserve">V009</t>
  </si>
  <si>
    <t xml:space="preserve">Granite Press Ltd.</t>
  </si>
  <si>
    <t xml:space="preserve">Net60</t>
  </si>
  <si>
    <t xml:space="preserve">V010</t>
  </si>
  <si>
    <t xml:space="preserve">Bluewater Data Mail</t>
  </si>
  <si>
    <t xml:space="preserve">AliasKey (UPPER, trimmed)</t>
  </si>
  <si>
    <t xml:space="preserve">NORTHBRIDGE PRINT SERVICES</t>
  </si>
  <si>
    <t xml:space="preserve">NORTHBRIDGE PRINT</t>
  </si>
  <si>
    <t xml:space="preserve">NORTHBRIDGE PRINT SERVICES INC</t>
  </si>
  <si>
    <t xml:space="preserve">MAPLE MAILING SOLUTIONS</t>
  </si>
  <si>
    <t xml:space="preserve">MAPLE MAILING</t>
  </si>
  <si>
    <t xml:space="preserve">LAKESHORE ENVELOPE CO.</t>
  </si>
  <si>
    <t xml:space="preserve">LAKESHORE ENVELOPE COMPANY</t>
  </si>
  <si>
    <t xml:space="preserve">SUMMIT DIGITAL PRINT INC.</t>
  </si>
  <si>
    <t xml:space="preserve">SUMMIT DIGITAL PRINT</t>
  </si>
  <si>
    <t xml:space="preserve">HARBOURVIEW POSTAGE LTD.</t>
  </si>
  <si>
    <t xml:space="preserve">HARBOURVIEW POSTAGE</t>
  </si>
  <si>
    <t xml:space="preserve">HARBOR VIEW POSTAGE LTD.</t>
  </si>
  <si>
    <t xml:space="preserve">CEDARLINE PAPER SUPPLY</t>
  </si>
  <si>
    <t xml:space="preserve">CEDARLINE PAPER</t>
  </si>
  <si>
    <t xml:space="preserve">REDWOOD DOCUMENT SERVICES</t>
  </si>
  <si>
    <t xml:space="preserve">REDWOOD DOCS</t>
  </si>
  <si>
    <t xml:space="preserve">CLEARPATH FULFILLMENT</t>
  </si>
  <si>
    <t xml:space="preserve">CLEAR PATH FULFILLMENT</t>
  </si>
  <si>
    <t xml:space="preserve">CLEARPATH FULFILMENT</t>
  </si>
  <si>
    <t xml:space="preserve">GRANITE PRESS LTD.</t>
  </si>
  <si>
    <t xml:space="preserve">GRANITE PRESS</t>
  </si>
  <si>
    <t xml:space="preserve">GRANITE PRESS LTD</t>
  </si>
  <si>
    <t xml:space="preserve">BLUEWATER DATA MAIL</t>
  </si>
  <si>
    <t xml:space="preserve">BLUEWATER DATAMAIL</t>
  </si>
  <si>
    <t xml:space="preserve">PO_Number</t>
  </si>
  <si>
    <t xml:space="preserve">Application</t>
  </si>
  <si>
    <t xml:space="preserve">DocumentType</t>
  </si>
  <si>
    <t xml:space="preserve">Approved_Amount</t>
  </si>
  <si>
    <t xml:space="preserve">PO_Date</t>
  </si>
  <si>
    <t xml:space="preserve">Approver</t>
  </si>
  <si>
    <t xml:space="preserve">PO-4501</t>
  </si>
  <si>
    <t xml:space="preserve">Group Retirement</t>
  </si>
  <si>
    <t xml:space="preserve">Policy Package</t>
  </si>
  <si>
    <t xml:space="preserve">R. Singh</t>
  </si>
  <si>
    <t xml:space="preserve">PO-4502</t>
  </si>
  <si>
    <t xml:space="preserve">Banking</t>
  </si>
  <si>
    <t xml:space="preserve">Annual Statement</t>
  </si>
  <si>
    <t xml:space="preserve">L. Martin</t>
  </si>
  <si>
    <t xml:space="preserve">PO-4503</t>
  </si>
  <si>
    <t xml:space="preserve">Individual Insurance</t>
  </si>
  <si>
    <t xml:space="preserve">Mail Insertion</t>
  </si>
  <si>
    <t xml:space="preserve">T. Abebe</t>
  </si>
  <si>
    <t xml:space="preserve">PO-4505</t>
  </si>
  <si>
    <t xml:space="preserve">PO-4506</t>
  </si>
  <si>
    <t xml:space="preserve">Group Benefits</t>
  </si>
  <si>
    <t xml:space="preserve">M. Chen</t>
  </si>
  <si>
    <t xml:space="preserve">PO-4508</t>
  </si>
  <si>
    <t xml:space="preserve">Envelopes</t>
  </si>
  <si>
    <t xml:space="preserve">PO-4511</t>
  </si>
  <si>
    <t xml:space="preserve">PO-4515</t>
  </si>
  <si>
    <t xml:space="preserve">PO-4516</t>
  </si>
  <si>
    <t xml:space="preserve">Tax Slip (T4A/T5)</t>
  </si>
  <si>
    <t xml:space="preserve">PO-4520</t>
  </si>
  <si>
    <t xml:space="preserve">Wealth &amp; Asset Mgmt</t>
  </si>
  <si>
    <t xml:space="preserve">PO-4522</t>
  </si>
  <si>
    <t xml:space="preserve">Paper Stock</t>
  </si>
  <si>
    <t xml:space="preserve">PO-4524</t>
  </si>
  <si>
    <t xml:space="preserve">PO-4525</t>
  </si>
  <si>
    <t xml:space="preserve">PO-4527</t>
  </si>
  <si>
    <t xml:space="preserve">PO-4531</t>
  </si>
  <si>
    <t xml:space="preserve">Welcome Kit</t>
  </si>
  <si>
    <t xml:space="preserve">PO-4535</t>
  </si>
  <si>
    <t xml:space="preserve">PO-4536</t>
  </si>
  <si>
    <t xml:space="preserve">PO-4537</t>
  </si>
  <si>
    <t xml:space="preserve">PO-4538</t>
  </si>
  <si>
    <t xml:space="preserve">PO-4541</t>
  </si>
  <si>
    <t xml:space="preserve">PO-4542</t>
  </si>
  <si>
    <t xml:space="preserve">PO-4543</t>
  </si>
  <si>
    <t xml:space="preserve">PO-4546</t>
  </si>
  <si>
    <t xml:space="preserve">PO-4550</t>
  </si>
  <si>
    <t xml:space="preserve">PO-4553</t>
  </si>
  <si>
    <t xml:space="preserve">PO-4557</t>
  </si>
  <si>
    <t xml:space="preserve">PO-4559</t>
  </si>
  <si>
    <t xml:space="preserve">PO-4560</t>
  </si>
  <si>
    <t xml:space="preserve">PO-4561</t>
  </si>
  <si>
    <t xml:space="preserve">PO-4563</t>
  </si>
  <si>
    <t xml:space="preserve">PO-4567</t>
  </si>
  <si>
    <t xml:space="preserve">PO-4571</t>
  </si>
  <si>
    <t xml:space="preserve">PO-4575</t>
  </si>
  <si>
    <t xml:space="preserve">PO-4579</t>
  </si>
  <si>
    <t xml:space="preserve">PO-4580</t>
  </si>
  <si>
    <t xml:space="preserve">PO-4582</t>
  </si>
  <si>
    <t xml:space="preserve">PO-4583</t>
  </si>
  <si>
    <t xml:space="preserve">PO-4586</t>
  </si>
  <si>
    <t xml:space="preserve">Renewal Notice</t>
  </si>
  <si>
    <t xml:space="preserve">PO-4588</t>
  </si>
  <si>
    <t xml:space="preserve">PO-4592</t>
  </si>
  <si>
    <t xml:space="preserve">PO-4593</t>
  </si>
  <si>
    <t xml:space="preserve">PO-4594</t>
  </si>
  <si>
    <t xml:space="preserve">PO-4596</t>
  </si>
  <si>
    <t xml:space="preserve">PO-4599</t>
  </si>
  <si>
    <t xml:space="preserve">PO-4600</t>
  </si>
  <si>
    <t xml:space="preserve">PO-4602</t>
  </si>
  <si>
    <t xml:space="preserve">PO-4605</t>
  </si>
  <si>
    <t xml:space="preserve">PO-4607</t>
  </si>
  <si>
    <t xml:space="preserve">PO-4611</t>
  </si>
  <si>
    <t xml:space="preserve">PO-4612</t>
  </si>
  <si>
    <t xml:space="preserve">PO-4616</t>
  </si>
  <si>
    <t xml:space="preserve">PO-4617</t>
  </si>
  <si>
    <t xml:space="preserve">PO-4620</t>
  </si>
  <si>
    <t xml:space="preserve">PO-4623</t>
  </si>
  <si>
    <t xml:space="preserve">PO-4625</t>
  </si>
  <si>
    <t xml:space="preserve">PO-4629</t>
  </si>
  <si>
    <t xml:space="preserve">PO-4630</t>
  </si>
  <si>
    <t xml:space="preserve">PO-4633</t>
  </si>
  <si>
    <t xml:space="preserve">PO-4636</t>
  </si>
  <si>
    <t xml:space="preserve">PO-4637</t>
  </si>
  <si>
    <t xml:space="preserve">InvoiceNo</t>
  </si>
  <si>
    <t xml:space="preserve">VendorRaw</t>
  </si>
  <si>
    <t xml:space="preserve">InvoiceDate</t>
  </si>
  <si>
    <t xml:space="preserve">NetAmount</t>
  </si>
  <si>
    <t xml:space="preserve">Tax</t>
  </si>
  <si>
    <t xml:space="preserve">InvoiceTotal</t>
  </si>
  <si>
    <t xml:space="preserve">INV-10041</t>
  </si>
  <si>
    <t xml:space="preserve">Maple Mailing</t>
  </si>
  <si>
    <t xml:space="preserve">INV-10175</t>
  </si>
  <si>
    <t xml:space="preserve">Cedarline Paper</t>
  </si>
  <si>
    <t xml:space="preserve">INV-10164</t>
  </si>
  <si>
    <t xml:space="preserve">INV-10158</t>
  </si>
  <si>
    <t xml:space="preserve">lakeshore envelope co.</t>
  </si>
  <si>
    <t xml:space="preserve">INV-10079</t>
  </si>
  <si>
    <t xml:space="preserve">INV-10032</t>
  </si>
  <si>
    <t xml:space="preserve">MAPLE MAILING SOLUTIONS </t>
  </si>
  <si>
    <t xml:space="preserve">INV-10111</t>
  </si>
  <si>
    <t xml:space="preserve">INV-10077</t>
  </si>
  <si>
    <t xml:space="preserve">INV-10056</t>
  </si>
  <si>
    <t xml:space="preserve">INV-10070</t>
  </si>
  <si>
    <t xml:space="preserve">INV-10028</t>
  </si>
  <si>
    <t xml:space="preserve">INV-10046</t>
  </si>
  <si>
    <t xml:space="preserve">INV-10050</t>
  </si>
  <si>
    <t xml:space="preserve">INV-10025</t>
  </si>
  <si>
    <t xml:space="preserve">INV-10124</t>
  </si>
  <si>
    <t xml:space="preserve">INV-10087</t>
  </si>
  <si>
    <t xml:space="preserve">Summit Digital Print</t>
  </si>
  <si>
    <t xml:space="preserve">INV-10023</t>
  </si>
  <si>
    <t xml:space="preserve">INV-10152</t>
  </si>
  <si>
    <t xml:space="preserve">Harbourview Postage</t>
  </si>
  <si>
    <t xml:space="preserve">INV-10036</t>
  </si>
  <si>
    <t xml:space="preserve">INV-10170</t>
  </si>
  <si>
    <t xml:space="preserve">INV-10006</t>
  </si>
  <si>
    <t xml:space="preserve">Redwood Docs</t>
  </si>
  <si>
    <t xml:space="preserve">INV-10034</t>
  </si>
  <si>
    <t xml:space="preserve">INV-10131</t>
  </si>
  <si>
    <t xml:space="preserve">INV-10013</t>
  </si>
  <si>
    <t xml:space="preserve">Bluewater Datamail</t>
  </si>
  <si>
    <t xml:space="preserve">INV-10100</t>
  </si>
  <si>
    <t xml:space="preserve">INV-10192</t>
  </si>
  <si>
    <t xml:space="preserve">QuickPost Couriers</t>
  </si>
  <si>
    <t xml:space="preserve">INV-10122</t>
  </si>
  <si>
    <t xml:space="preserve">INV-10063</t>
  </si>
  <si>
    <t xml:space="preserve">INV-10110</t>
  </si>
  <si>
    <t xml:space="preserve">INV-10108</t>
  </si>
  <si>
    <t xml:space="preserve">Northbridge Print Services Inc </t>
  </si>
  <si>
    <t xml:space="preserve">INV-10188</t>
  </si>
  <si>
    <t xml:space="preserve">INV-10057</t>
  </si>
  <si>
    <t xml:space="preserve">INV-10140</t>
  </si>
  <si>
    <t xml:space="preserve">INV-10043</t>
  </si>
  <si>
    <t xml:space="preserve">INV-10067</t>
  </si>
  <si>
    <t xml:space="preserve">INV-10096</t>
  </si>
  <si>
    <t xml:space="preserve">INV-10090</t>
  </si>
  <si>
    <t xml:space="preserve">INV-10183</t>
  </si>
  <si>
    <t xml:space="preserve">INV-10109</t>
  </si>
  <si>
    <t xml:space="preserve">INV-10113</t>
  </si>
  <si>
    <t xml:space="preserve">INV-10021</t>
  </si>
  <si>
    <t xml:space="preserve">INV-10171</t>
  </si>
  <si>
    <t xml:space="preserve">INV-10060</t>
  </si>
  <si>
    <t xml:space="preserve">INV-10184</t>
  </si>
  <si>
    <t xml:space="preserve">INV-10061</t>
  </si>
  <si>
    <t xml:space="preserve">INV-10064</t>
  </si>
  <si>
    <t xml:space="preserve">Lakeshore Envelope Company</t>
  </si>
  <si>
    <t xml:space="preserve">INV-10033</t>
  </si>
  <si>
    <t xml:space="preserve">INV-10167</t>
  </si>
  <si>
    <t xml:space="preserve">INV-10003</t>
  </si>
  <si>
    <t xml:space="preserve">INV-10172</t>
  </si>
  <si>
    <t xml:space="preserve">INV-10159</t>
  </si>
  <si>
    <t xml:space="preserve">INV-10180</t>
  </si>
  <si>
    <t xml:space="preserve">Clear Path Fulfillment</t>
  </si>
  <si>
    <t xml:space="preserve">INV-10009</t>
  </si>
  <si>
    <t xml:space="preserve">INV-10074</t>
  </si>
  <si>
    <t xml:space="preserve">INV-10185</t>
  </si>
  <si>
    <t xml:space="preserve">INV-10139</t>
  </si>
  <si>
    <t xml:space="preserve">INV-10102</t>
  </si>
  <si>
    <t xml:space="preserve">INV-10010</t>
  </si>
  <si>
    <t xml:space="preserve">INV-10082</t>
  </si>
  <si>
    <t xml:space="preserve">INV-10186</t>
  </si>
  <si>
    <t xml:space="preserve">INV-10020</t>
  </si>
  <si>
    <t xml:space="preserve">INV-10149</t>
  </si>
  <si>
    <t xml:space="preserve">Harbor View Postage Ltd.</t>
  </si>
  <si>
    <t xml:space="preserve">INV-10071</t>
  </si>
  <si>
    <t xml:space="preserve">INV-10137</t>
  </si>
  <si>
    <t xml:space="preserve">INV-10129</t>
  </si>
  <si>
    <t xml:space="preserve">INV-10112</t>
  </si>
  <si>
    <t xml:space="preserve">INV-10162</t>
  </si>
  <si>
    <t xml:space="preserve">INV-10118</t>
  </si>
  <si>
    <t xml:space="preserve">INV-10147</t>
  </si>
  <si>
    <t xml:space="preserve">INV-10134</t>
  </si>
  <si>
    <t xml:space="preserve">INV-10127</t>
  </si>
  <si>
    <t xml:space="preserve">INV-10038</t>
  </si>
  <si>
    <t xml:space="preserve">INV-10015</t>
  </si>
  <si>
    <t xml:space="preserve">INV-10115</t>
  </si>
  <si>
    <t xml:space="preserve">INV-10160</t>
  </si>
  <si>
    <t xml:space="preserve">INV-10002</t>
  </si>
  <si>
    <t xml:space="preserve">INV-10098</t>
  </si>
  <si>
    <t xml:space="preserve">INV-10018</t>
  </si>
  <si>
    <t xml:space="preserve">INV-10107</t>
  </si>
  <si>
    <t xml:space="preserve">INV-10084</t>
  </si>
  <si>
    <t xml:space="preserve">INV-10019</t>
  </si>
  <si>
    <t xml:space="preserve">INV-10093</t>
  </si>
  <si>
    <t xml:space="preserve">INV-10155</t>
  </si>
  <si>
    <t xml:space="preserve">INV-10190</t>
  </si>
  <si>
    <t xml:space="preserve">Apex Print Partners</t>
  </si>
  <si>
    <t xml:space="preserve">INV-10031</t>
  </si>
  <si>
    <t xml:space="preserve">INV-10119</t>
  </si>
  <si>
    <t xml:space="preserve">INV-10048</t>
  </si>
  <si>
    <t xml:space="preserve">INV-10178</t>
  </si>
  <si>
    <t xml:space="preserve">INV-10142</t>
  </si>
  <si>
    <t xml:space="preserve">INV-10053</t>
  </si>
  <si>
    <t xml:space="preserve">INV-10145</t>
  </si>
  <si>
    <t xml:space="preserve">INV-10104</t>
  </si>
  <si>
    <t xml:space="preserve">PaymentRef</t>
  </si>
  <si>
    <t xml:space="preserve">InvoiceRef_Raw</t>
  </si>
  <si>
    <t xml:space="preserve">PaidDate</t>
  </si>
  <si>
    <t xml:space="preserve">PaidAmount</t>
  </si>
  <si>
    <t xml:space="preserve">Currency</t>
  </si>
  <si>
    <t xml:space="preserve">InvoiceNo_Key</t>
  </si>
  <si>
    <t xml:space="preserve">EFT880075</t>
  </si>
  <si>
    <t xml:space="preserve">INV10036</t>
  </si>
  <si>
    <t xml:space="preserve">CAD</t>
  </si>
  <si>
    <t xml:space="preserve">EFT880312</t>
  </si>
  <si>
    <t xml:space="preserve">EFT880220</t>
  </si>
  <si>
    <t xml:space="preserve">EFT880139</t>
  </si>
  <si>
    <t xml:space="preserve">EFT880063</t>
  </si>
  <si>
    <t xml:space="preserve">INV10087</t>
  </si>
  <si>
    <t xml:space="preserve">EFT880037</t>
  </si>
  <si>
    <t xml:space="preserve">INV10070</t>
  </si>
  <si>
    <t xml:space="preserve">EFT880206</t>
  </si>
  <si>
    <t xml:space="preserve">EFT880043</t>
  </si>
  <si>
    <t xml:space="preserve">EFT880317</t>
  </si>
  <si>
    <t xml:space="preserve">INV-99001</t>
  </si>
  <si>
    <t xml:space="preserve">EFT880026</t>
  </si>
  <si>
    <t xml:space="preserve">EFT880190</t>
  </si>
  <si>
    <t xml:space="preserve">EFT880070</t>
  </si>
  <si>
    <t xml:space="preserve">EFT880169</t>
  </si>
  <si>
    <t xml:space="preserve">EFT880096</t>
  </si>
  <si>
    <t xml:space="preserve">EFT880177</t>
  </si>
  <si>
    <t xml:space="preserve">EFT880278</t>
  </si>
  <si>
    <t xml:space="preserve">EFT880154</t>
  </si>
  <si>
    <t xml:space="preserve">INV10113</t>
  </si>
  <si>
    <t xml:space="preserve">EFT880294</t>
  </si>
  <si>
    <t xml:space="preserve">INV10048</t>
  </si>
  <si>
    <t xml:space="preserve">EFT880178</t>
  </si>
  <si>
    <t xml:space="preserve">EFT880251</t>
  </si>
  <si>
    <t xml:space="preserve">EFT880148</t>
  </si>
  <si>
    <t xml:space="preserve">EFT880107</t>
  </si>
  <si>
    <t xml:space="preserve">EFT880046</t>
  </si>
  <si>
    <t xml:space="preserve">EFT880184</t>
  </si>
  <si>
    <t xml:space="preserve">INV10172</t>
  </si>
  <si>
    <t xml:space="preserve">EFT880304</t>
  </si>
  <si>
    <t xml:space="preserve">EFT880263</t>
  </si>
  <si>
    <t xml:space="preserve">INV10015</t>
  </si>
  <si>
    <t xml:space="preserve">EFT880131</t>
  </si>
  <si>
    <t xml:space="preserve">EFT880269</t>
  </si>
  <si>
    <t xml:space="preserve">INV10098</t>
  </si>
  <si>
    <t xml:space="preserve">EFT880245</t>
  </si>
  <si>
    <t xml:space="preserve">INV10134</t>
  </si>
  <si>
    <t xml:space="preserve">EFT880271</t>
  </si>
  <si>
    <t xml:space="preserve">EFT880236</t>
  </si>
  <si>
    <t xml:space="preserve">INV10118</t>
  </si>
  <si>
    <t xml:space="preserve">EFT880164</t>
  </si>
  <si>
    <t xml:space="preserve">EFT880266</t>
  </si>
  <si>
    <t xml:space="preserve">INV10002</t>
  </si>
  <si>
    <t xml:space="preserve">EFT880089</t>
  </si>
  <si>
    <t xml:space="preserve">INV10006</t>
  </si>
  <si>
    <t xml:space="preserve">EFT880270</t>
  </si>
  <si>
    <t xml:space="preserve">EFT880041</t>
  </si>
  <si>
    <t xml:space="preserve">INV10028</t>
  </si>
  <si>
    <t xml:space="preserve">EFT880322</t>
  </si>
  <si>
    <t xml:space="preserve">INV99017</t>
  </si>
  <si>
    <t xml:space="preserve">EFT880259</t>
  </si>
  <si>
    <t xml:space="preserve">EFT880174</t>
  </si>
  <si>
    <t xml:space="preserve">EFT880034</t>
  </si>
  <si>
    <t xml:space="preserve">EFT880233</t>
  </si>
  <si>
    <t xml:space="preserve">INV10112</t>
  </si>
  <si>
    <t xml:space="preserve">EFT880005</t>
  </si>
  <si>
    <t xml:space="preserve">INV10158</t>
  </si>
  <si>
    <t xml:space="preserve">EFT880280</t>
  </si>
  <si>
    <t xml:space="preserve">EFT880012</t>
  </si>
  <si>
    <t xml:space="preserve">INV10079</t>
  </si>
  <si>
    <t xml:space="preserve">EFT880129</t>
  </si>
  <si>
    <t xml:space="preserve">INV10057</t>
  </si>
  <si>
    <t xml:space="preserve">EFT880241</t>
  </si>
  <si>
    <t xml:space="preserve">EFT880099</t>
  </si>
  <si>
    <t xml:space="preserve">EFT880143</t>
  </si>
  <si>
    <t xml:space="preserve">EFT880083</t>
  </si>
  <si>
    <t xml:space="preserve">EFT880197</t>
  </si>
  <si>
    <t xml:space="preserve">EFT880162</t>
  </si>
  <si>
    <t xml:space="preserve">INV10021</t>
  </si>
  <si>
    <t xml:space="preserve">EFT880229</t>
  </si>
  <si>
    <t xml:space="preserve">INV10129</t>
  </si>
  <si>
    <t xml:space="preserve">EFT880116</t>
  </si>
  <si>
    <t xml:space="preserve">INV10110</t>
  </si>
  <si>
    <t xml:space="preserve">EFT880170</t>
  </si>
  <si>
    <t xml:space="preserve">INV10061</t>
  </si>
  <si>
    <t xml:space="preserve">EFT880195</t>
  </si>
  <si>
    <t xml:space="preserve">INV10074</t>
  </si>
  <si>
    <t xml:space="preserve">EFT880298</t>
  </si>
  <si>
    <t xml:space="preserve">EFT880283</t>
  </si>
  <si>
    <t xml:space="preserve">EFT880211</t>
  </si>
  <si>
    <t xml:space="preserve">EFT880277</t>
  </si>
  <si>
    <t xml:space="preserve">INV10019</t>
  </si>
  <si>
    <t xml:space="preserve">EFT880228</t>
  </si>
  <si>
    <t xml:space="preserve">INV10137</t>
  </si>
  <si>
    <t xml:space="preserve">EFT880054</t>
  </si>
  <si>
    <t xml:space="preserve">INV10124</t>
  </si>
  <si>
    <t xml:space="preserve">EFT880110</t>
  </si>
  <si>
    <t xml:space="preserve">EFT880292</t>
  </si>
  <si>
    <t xml:space="preserve">EFT880124</t>
  </si>
  <si>
    <t xml:space="preserve">INV10188</t>
  </si>
  <si>
    <t xml:space="preserve">EFT880003</t>
  </si>
  <si>
    <t xml:space="preserve">INV10041</t>
  </si>
  <si>
    <t xml:space="preserve">EFT880273</t>
  </si>
  <si>
    <t xml:space="preserve">EFT880017</t>
  </si>
  <si>
    <t xml:space="preserve">EFT880136</t>
  </si>
  <si>
    <t xml:space="preserve">VendorStatus</t>
  </si>
  <si>
    <t xml:space="preserve">PO_VendorID</t>
  </si>
  <si>
    <t xml:space="preserve">PO_Approved</t>
  </si>
  <si>
    <t xml:space="preserve">DueDate</t>
  </si>
  <si>
    <t xml:space="preserve">Is_Duplicate</t>
  </si>
  <si>
    <t xml:space="preserve">PO_Invoiced_ToDate</t>
  </si>
  <si>
    <t xml:space="preserve">Flag_UnknownVendor</t>
  </si>
  <si>
    <t xml:space="preserve">Flag_MissingPO</t>
  </si>
  <si>
    <t xml:space="preserve">Flag_PO_NotFound</t>
  </si>
  <si>
    <t xml:space="preserve">Flag_PO_VendorMismatch</t>
  </si>
  <si>
    <t xml:space="preserve">Flag_OverPO</t>
  </si>
  <si>
    <t xml:space="preserve">Flag_TotalMismatch</t>
  </si>
  <si>
    <t xml:space="preserve">Flag_TaxRate</t>
  </si>
  <si>
    <t xml:space="preserve">Flag_InactiveVendor</t>
  </si>
  <si>
    <t xml:space="preserve">Flag_PaymentMismatch</t>
  </si>
  <si>
    <t xml:space="preserve">Flag_OverdueUnpaid</t>
  </si>
  <si>
    <t xml:space="preserve">IssueCount</t>
  </si>
  <si>
    <t xml:space="preserve">Matched_Invoice</t>
  </si>
  <si>
    <t xml:space="preserve">Flag_OrphanPayment</t>
  </si>
  <si>
    <t xml:space="preserve">PrintVendorID</t>
  </si>
  <si>
    <t xml:space="preserve">MailVendorID</t>
  </si>
  <si>
    <t xml:space="preserve">Owner</t>
  </si>
  <si>
    <t xml:space="preserve">Flag_MissingMailVendor</t>
  </si>
  <si>
    <t xml:space="preserve">Flag_MissingOwner</t>
  </si>
  <si>
    <t xml:space="preserve">Flag_InactiveVendorMapped</t>
  </si>
  <si>
    <t xml:space="preserve">Vendor Governance</t>
  </si>
  <si>
    <t xml:space="preserve">Production Ops</t>
  </si>
  <si>
    <t xml:space="preserve">Issue</t>
  </si>
  <si>
    <t xml:space="preserve">Invoices / rows</t>
  </si>
  <si>
    <t xml:space="preserve">Dollar value at stake</t>
  </si>
  <si>
    <t xml:space="preserve">Suggested action</t>
  </si>
  <si>
    <t xml:space="preserve">Duplicate invoice (same InvoiceNo entered twice)</t>
  </si>
  <si>
    <t xml:space="preserve">Hold payment on the duplicate; ask AP to void it.</t>
  </si>
  <si>
    <t xml:space="preserve">Vendor name not in vendor master</t>
  </si>
  <si>
    <t xml:space="preserve">Confirm with Vendor Governance whether to onboard or reject.</t>
  </si>
  <si>
    <t xml:space="preserve">Invoice has no PO number</t>
  </si>
  <si>
    <t xml:space="preserve">Ask requester for the PO; no PO = no payment approval.</t>
  </si>
  <si>
    <t xml:space="preserve">PO number not found in PO system</t>
  </si>
  <si>
    <t xml:space="preserve">Check for typo or PO raised in another system.</t>
  </si>
  <si>
    <t xml:space="preserve">Invoice vendor differs from PO vendor</t>
  </si>
  <si>
    <t xml:space="preserve">Possible mis-keyed PO; confirm with requester.</t>
  </si>
  <si>
    <t xml:space="preserve">Cumulative invoices exceed PO approved amount</t>
  </si>
  <si>
    <t xml:space="preserve">Needs PO amendment or approver sign-off.</t>
  </si>
  <si>
    <t xml:space="preserve">Net + Tax does not equal Invoice Total</t>
  </si>
  <si>
    <t xml:space="preserve">Request corrected invoice from vendor.</t>
  </si>
  <si>
    <t xml:space="preserve">Tax not at expected provincial rate</t>
  </si>
  <si>
    <t xml:space="preserve">Check vendor's tax registration / place of supply.</t>
  </si>
  <si>
    <t xml:space="preserve">Invoice from vendor marked Inactive</t>
  </si>
  <si>
    <t xml:space="preserve">Confirm whether vendor should be reactivated.</t>
  </si>
  <si>
    <t xml:space="preserve">Paid amount differs from invoice total</t>
  </si>
  <si>
    <t xml:space="preserve">Short/over payment; reconcile with Treasury.</t>
  </si>
  <si>
    <t xml:space="preserve">Unpaid and past due as of as-of date</t>
  </si>
  <si>
    <t xml:space="preserve">Escalate to AP for payment run.</t>
  </si>
  <si>
    <t xml:space="preserve">Payment with no matching invoice (orphan)</t>
  </si>
  <si>
    <t xml:space="preserve">Trace with Treasury; possible misapplied payment.</t>
  </si>
  <si>
    <t xml:space="preserve">Mapping row missing mail vendor</t>
  </si>
  <si>
    <t xml:space="preserve">n/a</t>
  </si>
  <si>
    <t xml:space="preserve">Fill in with Production Ops.</t>
  </si>
  <si>
    <t xml:space="preserve">Mapping row missing owner</t>
  </si>
  <si>
    <t xml:space="preserve">Assign an owner team.</t>
  </si>
  <si>
    <t xml:space="preserve">Mapping row uses an Inactive vendor</t>
  </si>
  <si>
    <t xml:space="preserve">Re-map to an active vendor.</t>
  </si>
  <si>
    <t xml:space="preserve">Total invoice rows</t>
  </si>
  <si>
    <t xml:space="preserve">Dollar value = invoice total of flagged rows, except tax rows (tax amount) and payment rows (amount paid).</t>
  </si>
  <si>
    <t xml:space="preserve">Invoices (excl. dup)</t>
  </si>
  <si>
    <t xml:space="preserve">Invoiced Total</t>
  </si>
  <si>
    <t xml:space="preserve">Paid</t>
  </si>
  <si>
    <t xml:space="preserve">Invoices with issues</t>
  </si>
  <si>
    <t xml:space="preserve">UNKNOWN</t>
  </si>
  <si>
    <t xml:space="preserve">Total</t>
  </si>
  <si>
    <t xml:space="preserve">Table</t>
  </si>
  <si>
    <t xml:space="preserve">Field</t>
  </si>
  <si>
    <t xml:space="preserve">Source</t>
  </si>
  <si>
    <t xml:space="preserve">Rule / Note</t>
  </si>
  <si>
    <t xml:space="preserve">Invoices</t>
  </si>
  <si>
    <t xml:space="preserve">AP export 'Invoice #'</t>
  </si>
  <si>
    <t xml:space="preserve">Text, trimmed. Should be unique; repeats flagged as duplicate.</t>
  </si>
  <si>
    <t xml:space="preserve">AP export 'Vendor'</t>
  </si>
  <si>
    <t xml:space="preserve">Free text as keyed by AP; inconsistent spelling/case.</t>
  </si>
  <si>
    <t xml:space="preserve">AP export</t>
  </si>
  <si>
    <t xml:space="preserve">3 formats in source (2026-05-16, 2026/06/10, Sep 05, 2026) -&gt; real date.</t>
  </si>
  <si>
    <t xml:space="preserve">NetAmount / Tax / InvoiceTotal</t>
  </si>
  <si>
    <t xml:space="preserve">Stored as text with $, commas, spaces -&gt; number.</t>
  </si>
  <si>
    <t xml:space="preserve">Checks</t>
  </si>
  <si>
    <t xml:space="preserve">Vendor_Aliases</t>
  </si>
  <si>
    <t xml:space="preserve">UPPER(TRIM(VendorRaw)) looked up in alias table; 'UNKNOWN' if no match.</t>
  </si>
  <si>
    <t xml:space="preserve">Vendors.PaymentTerms</t>
  </si>
  <si>
    <t xml:space="preserve">InvoiceDate + term days (Net30 = 30). Unknown vendor defaults to 30.</t>
  </si>
  <si>
    <t xml:space="preserve">1 on 2nd+ occurrence of an InvoiceNo; first occurrence kept.</t>
  </si>
  <si>
    <t xml:space="preserve">Sum of NetAmount of non-duplicate invoices on the same PO.</t>
  </si>
  <si>
    <t xml:space="preserve">POs.Approved_Amount</t>
  </si>
  <si>
    <t xml:space="preserve">PO_Invoiced_ToDate &gt; Approved_Amount (net of tax).</t>
  </si>
  <si>
    <t xml:space="preserve">|Net + Tax - Total| &gt; $0.01.</t>
  </si>
  <si>
    <t xml:space="preserve">Vendors.Province</t>
  </si>
  <si>
    <t xml:space="preserve">Tax differs from ROUND(Net x provincial rate, 2) by &gt; $0.01.</t>
  </si>
  <si>
    <t xml:space="preserve">Payments</t>
  </si>
  <si>
    <t xml:space="preserve">SUMIFS of PaidAmount on normalized InvoiceNo_Key.</t>
  </si>
  <si>
    <t xml:space="preserve">About!B3</t>
  </si>
  <si>
    <t xml:space="preserve">Not duplicate, nothing paid, DueDate before as-of date.</t>
  </si>
  <si>
    <t xml:space="preserve">Bank file</t>
  </si>
  <si>
    <t xml:space="preserve">Bank drops the hyphen on some refs (INV10041 -&gt; INV-10041).</t>
  </si>
  <si>
    <t xml:space="preserve">AliasKey</t>
  </si>
  <si>
    <t xml:space="preserve">Built by analyst</t>
  </si>
  <si>
    <t xml:space="preserve">Catalog of every spelling seen in AP, mapped to the master VendorID.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</si>
</sst>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"/>
    <numFmt numFmtId="167" formatCode="0.0%"/>
    <numFmt numFmtId="168" formatCode="\$#,##0.00"/>
    <numFmt numFmtId="169" formatCode="0.000%"/>
    <numFmt numFmtId="170" formatCode="General"/>
    <numFmt numFmtId="171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Invoices flagged by issue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Issues_Summary!B1</c:f>
              <c:strCache>
                <c:ptCount val="1"/>
                <c:pt idx="0">
                  <c:v>Invoices / rows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Issues_Summary!$A$2:$A$12</c:f>
              <c:strCache>
                <c:ptCount val="11"/>
                <c:pt idx="0">
                  <c:v>Duplicate invoice (same InvoiceNo entered twice)</c:v>
                </c:pt>
                <c:pt idx="1">
                  <c:v>Vendor name not in vendor master</c:v>
                </c:pt>
                <c:pt idx="2">
                  <c:v>Invoice has no PO number</c:v>
                </c:pt>
                <c:pt idx="3">
                  <c:v>PO number not found in PO system</c:v>
                </c:pt>
                <c:pt idx="4">
                  <c:v>Invoice vendor differs from PO vendor</c:v>
                </c:pt>
                <c:pt idx="5">
                  <c:v>Cumulative invoices exceed PO approved amount</c:v>
                </c:pt>
                <c:pt idx="6">
                  <c:v>Net + Tax does not equal Invoice Total</c:v>
                </c:pt>
                <c:pt idx="7">
                  <c:v>Tax not at expected provincial rate</c:v>
                </c:pt>
                <c:pt idx="8">
                  <c:v>Invoice from vendor marked Inactive</c:v>
                </c:pt>
                <c:pt idx="9">
                  <c:v>Paid amount differs from invoice total</c:v>
                </c:pt>
                <c:pt idx="10">
                  <c:v>Unpaid and past due as of as-of date</c:v>
                </c:pt>
              </c:strCache>
            </c:strRef>
          </c:cat>
          <c:val>
            <c:numRef>
              <c:f>Issues_Summary!$B$2:$B$12</c:f>
              <c:numCache>
                <c:formatCode>General</c:formatCode>
                <c:ptCount val="11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8">
                  <c:v>8</c:v>
                </c:pt>
                <c:pt idx="9">
                  <c:v>2</c:v>
                </c:pt>
                <c:pt idx="10">
                  <c:v>20</c:v>
                </c:pt>
              </c:numCache>
            </c:numRef>
          </c:val>
        </c:ser>
        <c:gapWidth val="150"/>
        <c:overlap val="0"/>
        <c:axId val="57120901"/>
        <c:axId val="95871544"/>
      </c:barChart>
      <c:catAx>
        <c:axId val="571209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71544"/>
        <c:crosses val="autoZero"/>
        <c:auto val="1"/>
        <c:lblAlgn val="ctr"/>
        <c:lblOffset val="100"/>
        <c:noMultiLvlLbl val="0"/>
      </c:catAx>
      <c:valAx>
        <c:axId val="95871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Invoices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209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Outstanding balance by vendor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Vendor_Summary!G1</c:f>
              <c:strCache>
                <c:ptCount val="1"/>
                <c:pt idx="0">
                  <c:v>Outstanding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Vendor_Summary!$A$2:$A$12</c:f>
              <c:strCache>
                <c:ptCount val="11"/>
                <c:pt idx="0">
                  <c:v>V001</c:v>
                </c:pt>
                <c:pt idx="1">
                  <c:v>V002</c:v>
                </c:pt>
                <c:pt idx="2">
                  <c:v>V003</c:v>
                </c:pt>
                <c:pt idx="3">
                  <c:v>V004</c:v>
                </c:pt>
                <c:pt idx="4">
                  <c:v>V005</c:v>
                </c:pt>
                <c:pt idx="5">
                  <c:v>V006</c:v>
                </c:pt>
                <c:pt idx="6">
                  <c:v>V007</c:v>
                </c:pt>
                <c:pt idx="7">
                  <c:v>V008</c:v>
                </c:pt>
                <c:pt idx="8">
                  <c:v>V009</c:v>
                </c:pt>
                <c:pt idx="9">
                  <c:v>V010</c:v>
                </c:pt>
                <c:pt idx="10">
                  <c:v>UNKNOWN</c:v>
                </c:pt>
              </c:strCache>
            </c:strRef>
          </c:cat>
          <c:val>
            <c:numRef>
              <c:f>Vendor_Summary!$G$2:$G$12</c:f>
              <c:numCache>
                <c:formatCode>\$#,##0.00;"($"#,##0.00\);\-</c:formatCode>
                <c:ptCount val="11"/>
                <c:pt idx="0">
                  <c:v>15011.48</c:v>
                </c:pt>
                <c:pt idx="1">
                  <c:v>61374.27</c:v>
                </c:pt>
                <c:pt idx="2">
                  <c:v>16504.39</c:v>
                </c:pt>
                <c:pt idx="3">
                  <c:v>19605.09</c:v>
                </c:pt>
                <c:pt idx="4">
                  <c:v>43469.06</c:v>
                </c:pt>
                <c:pt idx="5">
                  <c:v>31151.77</c:v>
                </c:pt>
                <c:pt idx="6">
                  <c:v>7248.34</c:v>
                </c:pt>
                <c:pt idx="7">
                  <c:v>7075.06999999999</c:v>
                </c:pt>
                <c:pt idx="8">
                  <c:v>0</c:v>
                </c:pt>
                <c:pt idx="9">
                  <c:v>793.450000000001</c:v>
                </c:pt>
                <c:pt idx="10">
                  <c:v>11458.35</c:v>
                </c:pt>
              </c:numCache>
            </c:numRef>
          </c:val>
        </c:ser>
        <c:gapWidth val="150"/>
        <c:overlap val="0"/>
        <c:axId val="14179598"/>
        <c:axId val="86497809"/>
      </c:barChart>
      <c:catAx>
        <c:axId val="141795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97809"/>
        <c:crosses val="autoZero"/>
        <c:auto val="1"/>
        <c:lblAlgn val="ctr"/>
        <c:lblOffset val="100"/>
        <c:noMultiLvlLbl val="0"/>
      </c:catAx>
      <c:valAx>
        <c:axId val="86497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795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15</xdr:col>
      <xdr:colOff>581400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610920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160920</xdr:rowOff>
    </xdr:from>
    <xdr:to>
      <xdr:col>15</xdr:col>
      <xdr:colOff>581400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6109200" y="4000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hecks" displayName="Checks" ref="A1:Z97" headerRowCount="1" totalsRowCount="0" totalsRowShown="0">
  <autoFilter ref="A1:Z97"/>
  <tableColumns count="26">
    <tableColumn id="1" name="InvoiceNo"/>
    <tableColumn id="2" name="VendorRaw"/>
    <tableColumn id="3" name="VendorID"/>
    <tableColumn id="4" name="VendorStatus"/>
    <tableColumn id="5" name="PO_Number"/>
    <tableColumn id="6" name="PO_VendorID"/>
    <tableColumn id="7" name="PO_Approved"/>
    <tableColumn id="8" name="InvoiceDate"/>
    <tableColumn id="9" name="NetAmount"/>
    <tableColumn id="10" name="Tax"/>
    <tableColumn id="11" name="InvoiceTotal"/>
    <tableColumn id="12" name="DueDate"/>
    <tableColumn id="13" name="Is_Duplicate"/>
    <tableColumn id="14" name="PO_Invoiced_ToDate"/>
    <tableColumn id="15" name="Flag_UnknownVendor"/>
    <tableColumn id="16" name="Flag_MissingPO"/>
    <tableColumn id="17" name="Flag_PO_NotFound"/>
    <tableColumn id="18" name="Flag_PO_VendorMismatch"/>
    <tableColumn id="19" name="Flag_OverPO"/>
    <tableColumn id="20" name="Flag_TotalMismatch"/>
    <tableColumn id="21" name="Flag_TaxRate"/>
    <tableColumn id="22" name="Flag_InactiveVendor"/>
    <tableColumn id="23" name="PaidAmount"/>
    <tableColumn id="24" name="Flag_PaymentMismatch"/>
    <tableColumn id="25" name="Flag_OverdueUnpaid"/>
    <tableColumn id="26" name="IssueCount"/>
  </tableColumns>
</table>
</file>

<file path=xl/tables/table2.xml><?xml version="1.0" encoding="utf-8"?>
<table xmlns="http://schemas.openxmlformats.org/spreadsheetml/2006/main" id="2" name="Invoices" displayName="Invoices" ref="A1:G97" headerRowCount="1" totalsRowCount="0" totalsRowShown="0">
  <autoFilter ref="A1:G97"/>
  <tableColumns count="7">
    <tableColumn id="1" name="InvoiceNo"/>
    <tableColumn id="2" name="VendorRaw"/>
    <tableColumn id="3" name="PO_Number"/>
    <tableColumn id="4" name="InvoiceDate"/>
    <tableColumn id="5" name="NetAmount"/>
    <tableColumn id="6" name="Tax"/>
    <tableColumn id="7" name="InvoiceTotal"/>
  </tableColumns>
</table>
</file>

<file path=xl/tables/table3.xml><?xml version="1.0" encoding="utf-8"?>
<table xmlns="http://schemas.openxmlformats.org/spreadsheetml/2006/main" id="3" name="Mapping_Checks" displayName="Mapping_Checks" ref="A1:H16" headerRowCount="1" totalsRowCount="0" totalsRowShown="0">
  <autoFilter ref="A1:H16"/>
  <tableColumns count="8">
    <tableColumn id="1" name="Application"/>
    <tableColumn id="2" name="DocumentType"/>
    <tableColumn id="3" name="PrintVendorID"/>
    <tableColumn id="4" name="MailVendorID"/>
    <tableColumn id="5" name="Owner"/>
    <tableColumn id="6" name="Flag_MissingMailVendor"/>
    <tableColumn id="7" name="Flag_MissingOwner"/>
    <tableColumn id="8" name="Flag_InactiveVendorMapped"/>
  </tableColumns>
</table>
</file>

<file path=xl/tables/table4.xml><?xml version="1.0" encoding="utf-8"?>
<table xmlns="http://schemas.openxmlformats.org/spreadsheetml/2006/main" id="4" name="Payment_Checks" displayName="Payment_Checks" ref="A1:E69" headerRowCount="1" totalsRowCount="0" totalsRowShown="0">
  <autoFilter ref="A1:E69"/>
  <tableColumns count="5">
    <tableColumn id="1" name="PaymentRef"/>
    <tableColumn id="2" name="InvoiceNo_Key"/>
    <tableColumn id="3" name="PaidAmount"/>
    <tableColumn id="4" name="Matched_Invoice"/>
    <tableColumn id="5" name="Flag_OrphanPayment"/>
  </tableColumns>
</table>
</file>

<file path=xl/tables/table5.xml><?xml version="1.0" encoding="utf-8"?>
<table xmlns="http://schemas.openxmlformats.org/spreadsheetml/2006/main" id="5" name="Payments" displayName="Payments" ref="A1:F69" headerRowCount="1" totalsRowCount="0" totalsRowShown="0">
  <autoFilter ref="A1:F69"/>
  <tableColumns count="6">
    <tableColumn id="1" name="PaymentRef"/>
    <tableColumn id="2" name="InvoiceRef_Raw"/>
    <tableColumn id="3" name="PaidDate"/>
    <tableColumn id="4" name="PaidAmount"/>
    <tableColumn id="5" name="Currency"/>
    <tableColumn id="6" name="InvoiceNo_Key"/>
  </tableColumns>
</table>
</file>

<file path=xl/tables/table6.xml><?xml version="1.0" encoding="utf-8"?>
<table xmlns="http://schemas.openxmlformats.org/spreadsheetml/2006/main" id="6" name="POs" displayName="POs" ref="A1:G61" headerRowCount="1" totalsRowCount="0" totalsRowShown="0">
  <autoFilter ref="A1:G61"/>
  <tableColumns count="7">
    <tableColumn id="1" name="PO_Number"/>
    <tableColumn id="2" name="VendorID"/>
    <tableColumn id="3" name="Application"/>
    <tableColumn id="4" name="DocumentType"/>
    <tableColumn id="5" name="Approved_Amount"/>
    <tableColumn id="6" name="PO_Date"/>
    <tableColumn id="7" name="Approver"/>
  </tableColumns>
</table>
</file>

<file path=xl/tables/table7.xml><?xml version="1.0" encoding="utf-8"?>
<table xmlns="http://schemas.openxmlformats.org/spreadsheetml/2006/main" id="7" name="Vendor_Aliases" displayName="Vendor_Aliases" ref="A1:B25" headerRowCount="1" totalsRowCount="0" totalsRowShown="0">
  <autoFilter ref="A1:B25"/>
  <tableColumns count="2">
    <tableColumn id="1" name="AliasKey (UPPER, trimmed)"/>
    <tableColumn id="2" name="VendorID"/>
  </tableColumns>
</table>
</file>

<file path=xl/tables/table8.xml><?xml version="1.0" encoding="utf-8"?>
<table xmlns="http://schemas.openxmlformats.org/spreadsheetml/2006/main" id="8" name="Vendors" displayName="Vendors" ref="A1:H11" headerRowCount="1" totalsRowCount="0" totalsRowShown="0">
  <autoFilter ref="A1:H11"/>
  <tableColumns count="8">
    <tableColumn id="1" name="VendorID"/>
    <tableColumn id="2" name="VendorName"/>
    <tableColumn id="3" name="Category"/>
    <tableColumn id="4" name="PaymentTerms"/>
    <tableColumn id="5" name="Status"/>
    <tableColumn id="6" name="Province"/>
    <tableColumn id="7" name="TaxRate"/>
    <tableColumn id="8" name="TermDay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3" t="n">
        <v>46295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4" t="s">
        <v>15</v>
      </c>
    </row>
    <row r="3" customFormat="false" ht="15" hidden="false" customHeight="false" outlineLevel="0" collapsed="false">
      <c r="A3" s="2" t="s">
        <v>16</v>
      </c>
      <c r="B3" s="5" t="n">
        <f aca="false">Issues_Summary!B19</f>
        <v>96</v>
      </c>
    </row>
    <row r="4" customFormat="false" ht="15" hidden="false" customHeight="false" outlineLevel="0" collapsed="false">
      <c r="A4" s="2" t="s">
        <v>17</v>
      </c>
      <c r="B4" s="5" t="n">
        <f aca="false">Issues_Summary!B18</f>
        <v>42</v>
      </c>
    </row>
    <row r="5" customFormat="false" ht="15" hidden="false" customHeight="false" outlineLevel="0" collapsed="false">
      <c r="A5" s="2" t="s">
        <v>18</v>
      </c>
      <c r="B5" s="6" t="n">
        <f aca="false">B4/B3</f>
        <v>0.4375</v>
      </c>
    </row>
    <row r="6" customFormat="false" ht="15" hidden="false" customHeight="false" outlineLevel="0" collapsed="false">
      <c r="A6" s="2" t="s">
        <v>19</v>
      </c>
      <c r="B6" s="7" t="n">
        <f aca="false">Vendor_Summary!E13</f>
        <v>654664.51</v>
      </c>
    </row>
    <row r="7" customFormat="false" ht="15" hidden="false" customHeight="false" outlineLevel="0" collapsed="false">
      <c r="A7" s="2" t="s">
        <v>20</v>
      </c>
      <c r="B7" s="7" t="n">
        <f aca="false">Vendor_Summary!F13</f>
        <v>440973.24</v>
      </c>
    </row>
    <row r="8" customFormat="false" ht="15" hidden="false" customHeight="false" outlineLevel="0" collapsed="false">
      <c r="A8" s="2" t="s">
        <v>21</v>
      </c>
      <c r="B8" s="7" t="n">
        <f aca="false">Vendor_Summary!G13</f>
        <v>213691.27</v>
      </c>
    </row>
    <row r="9" customFormat="false" ht="15" hidden="false" customHeight="false" outlineLevel="0" collapsed="false">
      <c r="A9" s="2" t="s">
        <v>22</v>
      </c>
      <c r="B9" s="7" t="n">
        <f aca="false">Issues_Summary!C12</f>
        <v>172409.58</v>
      </c>
    </row>
    <row r="10" customFormat="false" ht="15" hidden="false" customHeight="false" outlineLevel="0" collapsed="false">
      <c r="A10" s="2" t="s">
        <v>23</v>
      </c>
      <c r="B10" s="7" t="n">
        <f aca="false">Issues_Summary!C2</f>
        <v>37619.05</v>
      </c>
    </row>
    <row r="12" customFormat="false" ht="15" hidden="false" customHeight="false" outlineLevel="0" collapsed="false">
      <c r="A12" s="8" t="s">
        <v>24</v>
      </c>
    </row>
    <row r="13" customFormat="false" ht="15" hidden="false" customHeight="false" outlineLevel="0" collapsed="false">
      <c r="A13" s="2" t="s">
        <v>25</v>
      </c>
    </row>
    <row r="14" customFormat="false" ht="15" hidden="false" customHeight="false" outlineLevel="0" collapsed="false">
      <c r="A14" s="2" t="s">
        <v>26</v>
      </c>
    </row>
    <row r="15" customFormat="false" ht="15" hidden="false" customHeight="false" outlineLevel="0" collapsed="false">
      <c r="A15" s="2" t="s">
        <v>27</v>
      </c>
    </row>
    <row r="16" customFormat="false" ht="15" hidden="false" customHeight="false" outlineLevel="0" collapsed="false">
      <c r="A16" s="2" t="s">
        <v>28</v>
      </c>
    </row>
    <row r="17" customFormat="false" ht="15" hidden="false" customHeight="false" outlineLevel="0" collapsed="false">
      <c r="A17" s="2" t="s">
        <v>29</v>
      </c>
    </row>
    <row r="18" customFormat="false" ht="15" hidden="false" customHeight="false" outlineLevel="0" collapsed="false">
      <c r="A18" s="2" t="s">
        <v>30</v>
      </c>
    </row>
    <row r="19" customFormat="false" ht="15" hidden="false" customHeight="false" outlineLevel="0" collapsed="false">
      <c r="A19" s="2" t="s">
        <v>31</v>
      </c>
    </row>
    <row r="20" customFormat="false" ht="15" hidden="false" customHeight="false" outlineLevel="0" collapsed="false">
      <c r="A20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8" min="5" style="0" width="12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26.85" hidden="false" customHeight="false" outlineLevel="0" collapsed="false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J1" s="10" t="s">
        <v>38</v>
      </c>
      <c r="K1" s="10" t="s">
        <v>41</v>
      </c>
    </row>
    <row r="2" customFormat="false" ht="15" hidden="false" customHeight="false" outlineLevel="0" collapsed="false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11" t="n">
        <f aca="false">INDEX($K$2:$K$5,MATCH(F2,$J$2:$J$5,0))</f>
        <v>0.13</v>
      </c>
      <c r="H2" s="2" t="n">
        <f aca="false">VALUE(SUBSTITUTE(D2,"Net",""))</f>
        <v>30</v>
      </c>
      <c r="J2" s="2" t="s">
        <v>47</v>
      </c>
      <c r="K2" s="12" t="n">
        <v>0.13</v>
      </c>
    </row>
    <row r="3" customFormat="false" ht="15" hidden="false" customHeight="false" outlineLevel="0" collapsed="false">
      <c r="A3" s="2" t="s">
        <v>48</v>
      </c>
      <c r="B3" s="2" t="s">
        <v>49</v>
      </c>
      <c r="C3" s="2" t="s">
        <v>50</v>
      </c>
      <c r="D3" s="2" t="s">
        <v>45</v>
      </c>
      <c r="E3" s="2" t="s">
        <v>46</v>
      </c>
      <c r="F3" s="2" t="s">
        <v>47</v>
      </c>
      <c r="G3" s="11" t="n">
        <f aca="false">INDEX($K$2:$K$5,MATCH(F3,$J$2:$J$5,0))</f>
        <v>0.13</v>
      </c>
      <c r="H3" s="2" t="n">
        <f aca="false">VALUE(SUBSTITUTE(D3,"Net",""))</f>
        <v>30</v>
      </c>
      <c r="J3" s="2" t="s">
        <v>51</v>
      </c>
      <c r="K3" s="12" t="n">
        <v>0.14975</v>
      </c>
    </row>
    <row r="4" customFormat="false" ht="15" hidden="false" customHeight="false" outlineLevel="0" collapsed="false">
      <c r="A4" s="2" t="s">
        <v>52</v>
      </c>
      <c r="B4" s="2" t="s">
        <v>53</v>
      </c>
      <c r="C4" s="2" t="s">
        <v>54</v>
      </c>
      <c r="D4" s="2" t="s">
        <v>55</v>
      </c>
      <c r="E4" s="2" t="s">
        <v>46</v>
      </c>
      <c r="F4" s="2" t="s">
        <v>47</v>
      </c>
      <c r="G4" s="11" t="n">
        <f aca="false">INDEX($K$2:$K$5,MATCH(F4,$J$2:$J$5,0))</f>
        <v>0.13</v>
      </c>
      <c r="H4" s="2" t="n">
        <f aca="false">VALUE(SUBSTITUTE(D4,"Net",""))</f>
        <v>45</v>
      </c>
      <c r="J4" s="2" t="s">
        <v>56</v>
      </c>
      <c r="K4" s="12" t="n">
        <v>0.12</v>
      </c>
    </row>
    <row r="5" customFormat="false" ht="15" hidden="false" customHeight="false" outlineLevel="0" collapsed="false">
      <c r="A5" s="2" t="s">
        <v>57</v>
      </c>
      <c r="B5" s="2" t="s">
        <v>58</v>
      </c>
      <c r="C5" s="2" t="s">
        <v>44</v>
      </c>
      <c r="D5" s="2" t="s">
        <v>45</v>
      </c>
      <c r="E5" s="2" t="s">
        <v>46</v>
      </c>
      <c r="F5" s="2" t="s">
        <v>51</v>
      </c>
      <c r="G5" s="11" t="n">
        <f aca="false">INDEX($K$2:$K$5,MATCH(F5,$J$2:$J$5,0))</f>
        <v>0.14975</v>
      </c>
      <c r="H5" s="2" t="n">
        <f aca="false">VALUE(SUBSTITUTE(D5,"Net",""))</f>
        <v>30</v>
      </c>
      <c r="J5" s="2" t="s">
        <v>59</v>
      </c>
      <c r="K5" s="12" t="n">
        <v>0.05</v>
      </c>
    </row>
    <row r="6" customFormat="false" ht="15" hidden="false" customHeight="false" outlineLevel="0" collapsed="false">
      <c r="A6" s="2" t="s">
        <v>60</v>
      </c>
      <c r="B6" s="2" t="s">
        <v>61</v>
      </c>
      <c r="C6" s="2" t="s">
        <v>62</v>
      </c>
      <c r="D6" s="2" t="s">
        <v>63</v>
      </c>
      <c r="E6" s="2" t="s">
        <v>46</v>
      </c>
      <c r="F6" s="2" t="s">
        <v>47</v>
      </c>
      <c r="G6" s="11" t="n">
        <f aca="false">INDEX($K$2:$K$5,MATCH(F6,$J$2:$J$5,0))</f>
        <v>0.13</v>
      </c>
      <c r="H6" s="2" t="n">
        <f aca="false">VALUE(SUBSTITUTE(D6,"Net",""))</f>
        <v>15</v>
      </c>
    </row>
    <row r="7" customFormat="false" ht="15" hidden="false" customHeight="false" outlineLevel="0" collapsed="false">
      <c r="A7" s="2" t="s">
        <v>64</v>
      </c>
      <c r="B7" s="2" t="s">
        <v>65</v>
      </c>
      <c r="C7" s="2" t="s">
        <v>66</v>
      </c>
      <c r="D7" s="2" t="s">
        <v>55</v>
      </c>
      <c r="E7" s="2" t="s">
        <v>46</v>
      </c>
      <c r="F7" s="2" t="s">
        <v>47</v>
      </c>
      <c r="G7" s="11" t="n">
        <f aca="false">INDEX($K$2:$K$5,MATCH(F7,$J$2:$J$5,0))</f>
        <v>0.13</v>
      </c>
      <c r="H7" s="2" t="n">
        <f aca="false">VALUE(SUBSTITUTE(D7,"Net",""))</f>
        <v>45</v>
      </c>
      <c r="J7" s="13" t="s">
        <v>67</v>
      </c>
    </row>
    <row r="8" customFormat="false" ht="15" hidden="false" customHeight="false" outlineLevel="0" collapsed="false">
      <c r="A8" s="2" t="s">
        <v>68</v>
      </c>
      <c r="B8" s="2" t="s">
        <v>69</v>
      </c>
      <c r="C8" s="2" t="s">
        <v>44</v>
      </c>
      <c r="D8" s="2" t="s">
        <v>45</v>
      </c>
      <c r="E8" s="2" t="s">
        <v>70</v>
      </c>
      <c r="F8" s="2" t="s">
        <v>56</v>
      </c>
      <c r="G8" s="11" t="n">
        <f aca="false">INDEX($K$2:$K$5,MATCH(F8,$J$2:$J$5,0))</f>
        <v>0.12</v>
      </c>
      <c r="H8" s="2" t="n">
        <f aca="false">VALUE(SUBSTITUTE(D8,"Net",""))</f>
        <v>30</v>
      </c>
    </row>
    <row r="9" customFormat="false" ht="15" hidden="false" customHeight="false" outlineLevel="0" collapsed="false">
      <c r="A9" s="2" t="s">
        <v>71</v>
      </c>
      <c r="B9" s="2" t="s">
        <v>72</v>
      </c>
      <c r="C9" s="2" t="s">
        <v>73</v>
      </c>
      <c r="D9" s="2" t="s">
        <v>45</v>
      </c>
      <c r="E9" s="2" t="s">
        <v>46</v>
      </c>
      <c r="F9" s="2" t="s">
        <v>47</v>
      </c>
      <c r="G9" s="11" t="n">
        <f aca="false">INDEX($K$2:$K$5,MATCH(F9,$J$2:$J$5,0))</f>
        <v>0.13</v>
      </c>
      <c r="H9" s="2" t="n">
        <f aca="false">VALUE(SUBSTITUTE(D9,"Net",""))</f>
        <v>30</v>
      </c>
    </row>
    <row r="10" customFormat="false" ht="15" hidden="false" customHeight="false" outlineLevel="0" collapsed="false">
      <c r="A10" s="2" t="s">
        <v>74</v>
      </c>
      <c r="B10" s="2" t="s">
        <v>75</v>
      </c>
      <c r="C10" s="2" t="s">
        <v>44</v>
      </c>
      <c r="D10" s="2" t="s">
        <v>76</v>
      </c>
      <c r="E10" s="2" t="s">
        <v>46</v>
      </c>
      <c r="F10" s="2" t="s">
        <v>59</v>
      </c>
      <c r="G10" s="11" t="n">
        <f aca="false">INDEX($K$2:$K$5,MATCH(F10,$J$2:$J$5,0))</f>
        <v>0.05</v>
      </c>
      <c r="H10" s="2" t="n">
        <f aca="false">VALUE(SUBSTITUTE(D10,"Net",""))</f>
        <v>60</v>
      </c>
    </row>
    <row r="11" customFormat="false" ht="15" hidden="false" customHeight="false" outlineLevel="0" collapsed="false">
      <c r="A11" s="2" t="s">
        <v>77</v>
      </c>
      <c r="B11" s="2" t="s">
        <v>78</v>
      </c>
      <c r="C11" s="2" t="s">
        <v>50</v>
      </c>
      <c r="D11" s="2" t="s">
        <v>45</v>
      </c>
      <c r="E11" s="2" t="s">
        <v>70</v>
      </c>
      <c r="F11" s="2" t="s">
        <v>47</v>
      </c>
      <c r="G11" s="11" t="n">
        <f aca="false">INDEX($K$2:$K$5,MATCH(F11,$J$2:$J$5,0))</f>
        <v>0.13</v>
      </c>
      <c r="H11" s="2" t="n">
        <f aca="false">VALUE(SUBSTITUTE(D11,"Net",""))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9" t="s">
        <v>79</v>
      </c>
      <c r="B1" s="9" t="s">
        <v>33</v>
      </c>
    </row>
    <row r="2" customFormat="false" ht="15" hidden="false" customHeight="false" outlineLevel="0" collapsed="false">
      <c r="A2" s="2" t="s">
        <v>80</v>
      </c>
      <c r="B2" s="2" t="s">
        <v>42</v>
      </c>
    </row>
    <row r="3" customFormat="false" ht="15" hidden="false" customHeight="false" outlineLevel="0" collapsed="false">
      <c r="A3" s="2" t="s">
        <v>81</v>
      </c>
      <c r="B3" s="2" t="s">
        <v>42</v>
      </c>
    </row>
    <row r="4" customFormat="false" ht="15" hidden="false" customHeight="false" outlineLevel="0" collapsed="false">
      <c r="A4" s="2" t="s">
        <v>82</v>
      </c>
      <c r="B4" s="2" t="s">
        <v>42</v>
      </c>
    </row>
    <row r="5" customFormat="false" ht="15" hidden="false" customHeight="false" outlineLevel="0" collapsed="false">
      <c r="A5" s="2" t="s">
        <v>83</v>
      </c>
      <c r="B5" s="2" t="s">
        <v>48</v>
      </c>
    </row>
    <row r="6" customFormat="false" ht="15" hidden="false" customHeight="false" outlineLevel="0" collapsed="false">
      <c r="A6" s="2" t="s">
        <v>84</v>
      </c>
      <c r="B6" s="2" t="s">
        <v>48</v>
      </c>
    </row>
    <row r="7" customFormat="false" ht="15" hidden="false" customHeight="false" outlineLevel="0" collapsed="false">
      <c r="A7" s="2" t="s">
        <v>85</v>
      </c>
      <c r="B7" s="2" t="s">
        <v>52</v>
      </c>
    </row>
    <row r="8" customFormat="false" ht="15" hidden="false" customHeight="false" outlineLevel="0" collapsed="false">
      <c r="A8" s="2" t="s">
        <v>86</v>
      </c>
      <c r="B8" s="2" t="s">
        <v>52</v>
      </c>
    </row>
    <row r="9" customFormat="false" ht="15" hidden="false" customHeight="false" outlineLevel="0" collapsed="false">
      <c r="A9" s="2" t="s">
        <v>87</v>
      </c>
      <c r="B9" s="2" t="s">
        <v>57</v>
      </c>
    </row>
    <row r="10" customFormat="false" ht="15" hidden="false" customHeight="false" outlineLevel="0" collapsed="false">
      <c r="A10" s="2" t="s">
        <v>88</v>
      </c>
      <c r="B10" s="2" t="s">
        <v>57</v>
      </c>
    </row>
    <row r="11" customFormat="false" ht="15" hidden="false" customHeight="false" outlineLevel="0" collapsed="false">
      <c r="A11" s="2" t="s">
        <v>89</v>
      </c>
      <c r="B11" s="2" t="s">
        <v>60</v>
      </c>
    </row>
    <row r="12" customFormat="false" ht="15" hidden="false" customHeight="false" outlineLevel="0" collapsed="false">
      <c r="A12" s="2" t="s">
        <v>90</v>
      </c>
      <c r="B12" s="2" t="s">
        <v>60</v>
      </c>
    </row>
    <row r="13" customFormat="false" ht="15" hidden="false" customHeight="false" outlineLevel="0" collapsed="false">
      <c r="A13" s="2" t="s">
        <v>91</v>
      </c>
      <c r="B13" s="2" t="s">
        <v>60</v>
      </c>
    </row>
    <row r="14" customFormat="false" ht="15" hidden="false" customHeight="false" outlineLevel="0" collapsed="false">
      <c r="A14" s="2" t="s">
        <v>92</v>
      </c>
      <c r="B14" s="2" t="s">
        <v>64</v>
      </c>
    </row>
    <row r="15" customFormat="false" ht="15" hidden="false" customHeight="false" outlineLevel="0" collapsed="false">
      <c r="A15" s="2" t="s">
        <v>93</v>
      </c>
      <c r="B15" s="2" t="s">
        <v>64</v>
      </c>
    </row>
    <row r="16" customFormat="false" ht="15" hidden="false" customHeight="false" outlineLevel="0" collapsed="false">
      <c r="A16" s="2" t="s">
        <v>94</v>
      </c>
      <c r="B16" s="2" t="s">
        <v>68</v>
      </c>
    </row>
    <row r="17" customFormat="false" ht="15" hidden="false" customHeight="false" outlineLevel="0" collapsed="false">
      <c r="A17" s="2" t="s">
        <v>95</v>
      </c>
      <c r="B17" s="2" t="s">
        <v>68</v>
      </c>
    </row>
    <row r="18" customFormat="false" ht="15" hidden="false" customHeight="false" outlineLevel="0" collapsed="false">
      <c r="A18" s="2" t="s">
        <v>96</v>
      </c>
      <c r="B18" s="2" t="s">
        <v>71</v>
      </c>
    </row>
    <row r="19" customFormat="false" ht="15" hidden="false" customHeight="false" outlineLevel="0" collapsed="false">
      <c r="A19" s="2" t="s">
        <v>97</v>
      </c>
      <c r="B19" s="2" t="s">
        <v>71</v>
      </c>
    </row>
    <row r="20" customFormat="false" ht="15" hidden="false" customHeight="false" outlineLevel="0" collapsed="false">
      <c r="A20" s="2" t="s">
        <v>98</v>
      </c>
      <c r="B20" s="2" t="s">
        <v>71</v>
      </c>
    </row>
    <row r="21" customFormat="false" ht="15" hidden="false" customHeight="false" outlineLevel="0" collapsed="false">
      <c r="A21" s="2" t="s">
        <v>99</v>
      </c>
      <c r="B21" s="2" t="s">
        <v>74</v>
      </c>
    </row>
    <row r="22" customFormat="false" ht="15" hidden="false" customHeight="false" outlineLevel="0" collapsed="false">
      <c r="A22" s="2" t="s">
        <v>100</v>
      </c>
      <c r="B22" s="2" t="s">
        <v>74</v>
      </c>
    </row>
    <row r="23" customFormat="false" ht="15" hidden="false" customHeight="false" outlineLevel="0" collapsed="false">
      <c r="A23" s="2" t="s">
        <v>101</v>
      </c>
      <c r="B23" s="2" t="s">
        <v>74</v>
      </c>
    </row>
    <row r="24" customFormat="false" ht="15" hidden="false" customHeight="false" outlineLevel="0" collapsed="false">
      <c r="A24" s="2" t="s">
        <v>102</v>
      </c>
      <c r="B24" s="2" t="s">
        <v>77</v>
      </c>
    </row>
    <row r="25" customFormat="false" ht="15" hidden="false" customHeight="false" outlineLevel="0" collapsed="false">
      <c r="A25" s="2" t="s">
        <v>103</v>
      </c>
      <c r="B25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12"/>
  </cols>
  <sheetData>
    <row r="1" customFormat="false" ht="26.85" hidden="false" customHeight="false" outlineLevel="0" collapsed="false">
      <c r="A1" s="9" t="s">
        <v>104</v>
      </c>
      <c r="B1" s="9" t="s">
        <v>33</v>
      </c>
      <c r="C1" s="9" t="s">
        <v>105</v>
      </c>
      <c r="D1" s="9" t="s">
        <v>106</v>
      </c>
      <c r="E1" s="9" t="s">
        <v>107</v>
      </c>
      <c r="F1" s="9" t="s">
        <v>108</v>
      </c>
      <c r="G1" s="9" t="s">
        <v>109</v>
      </c>
    </row>
    <row r="2" customFormat="false" ht="15" hidden="false" customHeight="false" outlineLevel="0" collapsed="false">
      <c r="A2" s="2" t="s">
        <v>110</v>
      </c>
      <c r="B2" s="2" t="s">
        <v>68</v>
      </c>
      <c r="C2" s="2" t="s">
        <v>111</v>
      </c>
      <c r="D2" s="2" t="s">
        <v>112</v>
      </c>
      <c r="E2" s="14" t="n">
        <v>7700</v>
      </c>
      <c r="F2" s="15" t="n">
        <v>46033</v>
      </c>
      <c r="G2" s="2" t="s">
        <v>113</v>
      </c>
    </row>
    <row r="3" customFormat="false" ht="15" hidden="false" customHeight="false" outlineLevel="0" collapsed="false">
      <c r="A3" s="2" t="s">
        <v>114</v>
      </c>
      <c r="B3" s="2" t="s">
        <v>68</v>
      </c>
      <c r="C3" s="2" t="s">
        <v>115</v>
      </c>
      <c r="D3" s="2" t="s">
        <v>116</v>
      </c>
      <c r="E3" s="14" t="n">
        <v>17100</v>
      </c>
      <c r="F3" s="15" t="n">
        <v>46200</v>
      </c>
      <c r="G3" s="2" t="s">
        <v>117</v>
      </c>
    </row>
    <row r="4" customFormat="false" ht="15" hidden="false" customHeight="false" outlineLevel="0" collapsed="false">
      <c r="A4" s="2" t="s">
        <v>118</v>
      </c>
      <c r="B4" s="2" t="s">
        <v>77</v>
      </c>
      <c r="C4" s="2" t="s">
        <v>119</v>
      </c>
      <c r="D4" s="2" t="s">
        <v>120</v>
      </c>
      <c r="E4" s="14" t="n">
        <v>7950</v>
      </c>
      <c r="F4" s="15" t="n">
        <v>46034</v>
      </c>
      <c r="G4" s="2" t="s">
        <v>121</v>
      </c>
    </row>
    <row r="5" customFormat="false" ht="15" hidden="false" customHeight="false" outlineLevel="0" collapsed="false">
      <c r="A5" s="2" t="s">
        <v>122</v>
      </c>
      <c r="B5" s="2" t="s">
        <v>77</v>
      </c>
      <c r="C5" s="2" t="s">
        <v>115</v>
      </c>
      <c r="D5" s="2" t="s">
        <v>120</v>
      </c>
      <c r="E5" s="14" t="n">
        <v>7600</v>
      </c>
      <c r="F5" s="15" t="n">
        <v>46210</v>
      </c>
      <c r="G5" s="2" t="s">
        <v>117</v>
      </c>
    </row>
    <row r="6" customFormat="false" ht="15" hidden="false" customHeight="false" outlineLevel="0" collapsed="false">
      <c r="A6" s="2" t="s">
        <v>123</v>
      </c>
      <c r="B6" s="2" t="s">
        <v>60</v>
      </c>
      <c r="C6" s="2" t="s">
        <v>124</v>
      </c>
      <c r="D6" s="2" t="s">
        <v>62</v>
      </c>
      <c r="E6" s="14" t="n">
        <v>10700</v>
      </c>
      <c r="F6" s="15" t="n">
        <v>46221</v>
      </c>
      <c r="G6" s="2" t="s">
        <v>125</v>
      </c>
    </row>
    <row r="7" customFormat="false" ht="15" hidden="false" customHeight="false" outlineLevel="0" collapsed="false">
      <c r="A7" s="2" t="s">
        <v>126</v>
      </c>
      <c r="B7" s="2" t="s">
        <v>52</v>
      </c>
      <c r="C7" s="2" t="s">
        <v>111</v>
      </c>
      <c r="D7" s="2" t="s">
        <v>127</v>
      </c>
      <c r="E7" s="14" t="n">
        <v>4350</v>
      </c>
      <c r="F7" s="15" t="n">
        <v>46222</v>
      </c>
      <c r="G7" s="2" t="s">
        <v>117</v>
      </c>
    </row>
    <row r="8" customFormat="false" ht="15" hidden="false" customHeight="false" outlineLevel="0" collapsed="false">
      <c r="A8" s="2" t="s">
        <v>128</v>
      </c>
      <c r="B8" s="2" t="s">
        <v>48</v>
      </c>
      <c r="C8" s="2" t="s">
        <v>111</v>
      </c>
      <c r="D8" s="2" t="s">
        <v>120</v>
      </c>
      <c r="E8" s="14" t="n">
        <v>3100</v>
      </c>
      <c r="F8" s="15" t="n">
        <v>46243</v>
      </c>
      <c r="G8" s="2" t="s">
        <v>117</v>
      </c>
    </row>
    <row r="9" customFormat="false" ht="15" hidden="false" customHeight="false" outlineLevel="0" collapsed="false">
      <c r="A9" s="2" t="s">
        <v>129</v>
      </c>
      <c r="B9" s="2" t="s">
        <v>48</v>
      </c>
      <c r="C9" s="2" t="s">
        <v>115</v>
      </c>
      <c r="D9" s="2" t="s">
        <v>120</v>
      </c>
      <c r="E9" s="14" t="n">
        <v>18050</v>
      </c>
      <c r="F9" s="15" t="n">
        <v>46047</v>
      </c>
      <c r="G9" s="2" t="s">
        <v>125</v>
      </c>
    </row>
    <row r="10" customFormat="false" ht="15" hidden="false" customHeight="false" outlineLevel="0" collapsed="false">
      <c r="A10" s="2" t="s">
        <v>130</v>
      </c>
      <c r="B10" s="2" t="s">
        <v>57</v>
      </c>
      <c r="C10" s="2" t="s">
        <v>124</v>
      </c>
      <c r="D10" s="2" t="s">
        <v>131</v>
      </c>
      <c r="E10" s="14" t="n">
        <v>4000</v>
      </c>
      <c r="F10" s="15" t="n">
        <v>46038</v>
      </c>
      <c r="G10" s="2" t="s">
        <v>113</v>
      </c>
    </row>
    <row r="11" customFormat="false" ht="15" hidden="false" customHeight="false" outlineLevel="0" collapsed="false">
      <c r="A11" s="2" t="s">
        <v>132</v>
      </c>
      <c r="B11" s="2" t="s">
        <v>48</v>
      </c>
      <c r="C11" s="2" t="s">
        <v>133</v>
      </c>
      <c r="D11" s="2" t="s">
        <v>120</v>
      </c>
      <c r="E11" s="14" t="n">
        <v>6150</v>
      </c>
      <c r="F11" s="15" t="n">
        <v>46098</v>
      </c>
      <c r="G11" s="2" t="s">
        <v>125</v>
      </c>
    </row>
    <row r="12" customFormat="false" ht="15" hidden="false" customHeight="false" outlineLevel="0" collapsed="false">
      <c r="A12" s="2" t="s">
        <v>134</v>
      </c>
      <c r="B12" s="2" t="s">
        <v>64</v>
      </c>
      <c r="C12" s="2" t="s">
        <v>111</v>
      </c>
      <c r="D12" s="2" t="s">
        <v>135</v>
      </c>
      <c r="E12" s="14" t="n">
        <v>17550</v>
      </c>
      <c r="F12" s="15" t="n">
        <v>46198</v>
      </c>
      <c r="G12" s="2" t="s">
        <v>113</v>
      </c>
    </row>
    <row r="13" customFormat="false" ht="15" hidden="false" customHeight="false" outlineLevel="0" collapsed="false">
      <c r="A13" s="2" t="s">
        <v>136</v>
      </c>
      <c r="B13" s="2" t="s">
        <v>57</v>
      </c>
      <c r="C13" s="2" t="s">
        <v>133</v>
      </c>
      <c r="D13" s="2" t="s">
        <v>131</v>
      </c>
      <c r="E13" s="14" t="n">
        <v>18350</v>
      </c>
      <c r="F13" s="15" t="n">
        <v>46145</v>
      </c>
      <c r="G13" s="2" t="s">
        <v>113</v>
      </c>
    </row>
    <row r="14" customFormat="false" ht="15" hidden="false" customHeight="false" outlineLevel="0" collapsed="false">
      <c r="A14" s="2" t="s">
        <v>137</v>
      </c>
      <c r="B14" s="2" t="s">
        <v>64</v>
      </c>
      <c r="C14" s="2" t="s">
        <v>119</v>
      </c>
      <c r="D14" s="2" t="s">
        <v>135</v>
      </c>
      <c r="E14" s="14" t="n">
        <v>12250</v>
      </c>
      <c r="F14" s="15" t="n">
        <v>46085</v>
      </c>
      <c r="G14" s="2" t="s">
        <v>125</v>
      </c>
    </row>
    <row r="15" customFormat="false" ht="15" hidden="false" customHeight="false" outlineLevel="0" collapsed="false">
      <c r="A15" s="2" t="s">
        <v>138</v>
      </c>
      <c r="B15" s="2" t="s">
        <v>48</v>
      </c>
      <c r="C15" s="2" t="s">
        <v>111</v>
      </c>
      <c r="D15" s="2" t="s">
        <v>120</v>
      </c>
      <c r="E15" s="14" t="n">
        <v>18750</v>
      </c>
      <c r="F15" s="15" t="n">
        <v>46172</v>
      </c>
      <c r="G15" s="2" t="s">
        <v>117</v>
      </c>
    </row>
    <row r="16" customFormat="false" ht="15" hidden="false" customHeight="false" outlineLevel="0" collapsed="false">
      <c r="A16" s="2" t="s">
        <v>139</v>
      </c>
      <c r="B16" s="2" t="s">
        <v>71</v>
      </c>
      <c r="C16" s="2" t="s">
        <v>111</v>
      </c>
      <c r="D16" s="2" t="s">
        <v>140</v>
      </c>
      <c r="E16" s="14" t="n">
        <v>8300</v>
      </c>
      <c r="F16" s="15" t="n">
        <v>46063</v>
      </c>
      <c r="G16" s="2" t="s">
        <v>125</v>
      </c>
    </row>
    <row r="17" customFormat="false" ht="15" hidden="false" customHeight="false" outlineLevel="0" collapsed="false">
      <c r="A17" s="2" t="s">
        <v>141</v>
      </c>
      <c r="B17" s="2" t="s">
        <v>71</v>
      </c>
      <c r="C17" s="2" t="s">
        <v>124</v>
      </c>
      <c r="D17" s="2" t="s">
        <v>140</v>
      </c>
      <c r="E17" s="14" t="n">
        <v>15000</v>
      </c>
      <c r="F17" s="15" t="n">
        <v>46119</v>
      </c>
      <c r="G17" s="2" t="s">
        <v>117</v>
      </c>
    </row>
    <row r="18" customFormat="false" ht="15" hidden="false" customHeight="false" outlineLevel="0" collapsed="false">
      <c r="A18" s="2" t="s">
        <v>142</v>
      </c>
      <c r="B18" s="2" t="s">
        <v>48</v>
      </c>
      <c r="C18" s="2" t="s">
        <v>119</v>
      </c>
      <c r="D18" s="2" t="s">
        <v>120</v>
      </c>
      <c r="E18" s="14" t="n">
        <v>18050</v>
      </c>
      <c r="F18" s="15" t="n">
        <v>46247</v>
      </c>
      <c r="G18" s="2" t="s">
        <v>113</v>
      </c>
    </row>
    <row r="19" customFormat="false" ht="15" hidden="false" customHeight="false" outlineLevel="0" collapsed="false">
      <c r="A19" s="2" t="s">
        <v>143</v>
      </c>
      <c r="B19" s="2" t="s">
        <v>71</v>
      </c>
      <c r="C19" s="2" t="s">
        <v>133</v>
      </c>
      <c r="D19" s="2" t="s">
        <v>140</v>
      </c>
      <c r="E19" s="14" t="n">
        <v>15500</v>
      </c>
      <c r="F19" s="15" t="n">
        <v>46125</v>
      </c>
      <c r="G19" s="2" t="s">
        <v>125</v>
      </c>
    </row>
    <row r="20" customFormat="false" ht="15" hidden="false" customHeight="false" outlineLevel="0" collapsed="false">
      <c r="A20" s="2" t="s">
        <v>144</v>
      </c>
      <c r="B20" s="2" t="s">
        <v>42</v>
      </c>
      <c r="C20" s="2" t="s">
        <v>115</v>
      </c>
      <c r="D20" s="2" t="s">
        <v>131</v>
      </c>
      <c r="E20" s="14" t="n">
        <v>18400</v>
      </c>
      <c r="F20" s="15" t="n">
        <v>46201</v>
      </c>
      <c r="G20" s="2" t="s">
        <v>125</v>
      </c>
    </row>
    <row r="21" customFormat="false" ht="15" hidden="false" customHeight="false" outlineLevel="0" collapsed="false">
      <c r="A21" s="2" t="s">
        <v>145</v>
      </c>
      <c r="B21" s="2" t="s">
        <v>48</v>
      </c>
      <c r="C21" s="2" t="s">
        <v>124</v>
      </c>
      <c r="D21" s="2" t="s">
        <v>120</v>
      </c>
      <c r="E21" s="14" t="n">
        <v>2050</v>
      </c>
      <c r="F21" s="15" t="n">
        <v>46138</v>
      </c>
      <c r="G21" s="2" t="s">
        <v>125</v>
      </c>
    </row>
    <row r="22" customFormat="false" ht="15" hidden="false" customHeight="false" outlineLevel="0" collapsed="false">
      <c r="A22" s="2" t="s">
        <v>146</v>
      </c>
      <c r="B22" s="2" t="s">
        <v>52</v>
      </c>
      <c r="C22" s="2" t="s">
        <v>111</v>
      </c>
      <c r="D22" s="2" t="s">
        <v>127</v>
      </c>
      <c r="E22" s="14" t="n">
        <v>5900</v>
      </c>
      <c r="F22" s="15" t="n">
        <v>46187</v>
      </c>
      <c r="G22" s="2" t="s">
        <v>125</v>
      </c>
    </row>
    <row r="23" customFormat="false" ht="15" hidden="false" customHeight="false" outlineLevel="0" collapsed="false">
      <c r="A23" s="2" t="s">
        <v>147</v>
      </c>
      <c r="B23" s="2" t="s">
        <v>52</v>
      </c>
      <c r="C23" s="2" t="s">
        <v>111</v>
      </c>
      <c r="D23" s="2" t="s">
        <v>127</v>
      </c>
      <c r="E23" s="14" t="n">
        <v>2450</v>
      </c>
      <c r="F23" s="15" t="n">
        <v>46180</v>
      </c>
      <c r="G23" s="2" t="s">
        <v>121</v>
      </c>
    </row>
    <row r="24" customFormat="false" ht="15" hidden="false" customHeight="false" outlineLevel="0" collapsed="false">
      <c r="A24" s="2" t="s">
        <v>148</v>
      </c>
      <c r="B24" s="2" t="s">
        <v>64</v>
      </c>
      <c r="C24" s="2" t="s">
        <v>119</v>
      </c>
      <c r="D24" s="2" t="s">
        <v>135</v>
      </c>
      <c r="E24" s="14" t="n">
        <v>16500</v>
      </c>
      <c r="F24" s="15" t="n">
        <v>46088</v>
      </c>
      <c r="G24" s="2" t="s">
        <v>121</v>
      </c>
    </row>
    <row r="25" customFormat="false" ht="15" hidden="false" customHeight="false" outlineLevel="0" collapsed="false">
      <c r="A25" s="2" t="s">
        <v>149</v>
      </c>
      <c r="B25" s="2" t="s">
        <v>48</v>
      </c>
      <c r="C25" s="2" t="s">
        <v>119</v>
      </c>
      <c r="D25" s="2" t="s">
        <v>120</v>
      </c>
      <c r="E25" s="14" t="n">
        <v>5250</v>
      </c>
      <c r="F25" s="15" t="n">
        <v>46235</v>
      </c>
      <c r="G25" s="2" t="s">
        <v>117</v>
      </c>
    </row>
    <row r="26" customFormat="false" ht="15" hidden="false" customHeight="false" outlineLevel="0" collapsed="false">
      <c r="A26" s="2" t="s">
        <v>150</v>
      </c>
      <c r="B26" s="2" t="s">
        <v>52</v>
      </c>
      <c r="C26" s="2" t="s">
        <v>115</v>
      </c>
      <c r="D26" s="2" t="s">
        <v>127</v>
      </c>
      <c r="E26" s="14" t="n">
        <v>7400</v>
      </c>
      <c r="F26" s="15" t="n">
        <v>46162</v>
      </c>
      <c r="G26" s="2" t="s">
        <v>113</v>
      </c>
    </row>
    <row r="27" customFormat="false" ht="15" hidden="false" customHeight="false" outlineLevel="0" collapsed="false">
      <c r="A27" s="2" t="s">
        <v>151</v>
      </c>
      <c r="B27" s="2" t="s">
        <v>60</v>
      </c>
      <c r="C27" s="2" t="s">
        <v>111</v>
      </c>
      <c r="D27" s="2" t="s">
        <v>62</v>
      </c>
      <c r="E27" s="14" t="n">
        <v>15200</v>
      </c>
      <c r="F27" s="15" t="n">
        <v>46198</v>
      </c>
      <c r="G27" s="2" t="s">
        <v>117</v>
      </c>
    </row>
    <row r="28" customFormat="false" ht="15" hidden="false" customHeight="false" outlineLevel="0" collapsed="false">
      <c r="A28" s="2" t="s">
        <v>152</v>
      </c>
      <c r="B28" s="2" t="s">
        <v>48</v>
      </c>
      <c r="C28" s="2" t="s">
        <v>119</v>
      </c>
      <c r="D28" s="2" t="s">
        <v>120</v>
      </c>
      <c r="E28" s="14" t="n">
        <v>2500</v>
      </c>
      <c r="F28" s="15" t="n">
        <v>46084</v>
      </c>
      <c r="G28" s="2" t="s">
        <v>113</v>
      </c>
    </row>
    <row r="29" customFormat="false" ht="15" hidden="false" customHeight="false" outlineLevel="0" collapsed="false">
      <c r="A29" s="2" t="s">
        <v>153</v>
      </c>
      <c r="B29" s="2" t="s">
        <v>57</v>
      </c>
      <c r="C29" s="2" t="s">
        <v>119</v>
      </c>
      <c r="D29" s="2" t="s">
        <v>112</v>
      </c>
      <c r="E29" s="14" t="n">
        <v>3700</v>
      </c>
      <c r="F29" s="15" t="n">
        <v>46045</v>
      </c>
      <c r="G29" s="2" t="s">
        <v>121</v>
      </c>
    </row>
    <row r="30" customFormat="false" ht="15" hidden="false" customHeight="false" outlineLevel="0" collapsed="false">
      <c r="A30" s="2" t="s">
        <v>154</v>
      </c>
      <c r="B30" s="2" t="s">
        <v>64</v>
      </c>
      <c r="C30" s="2" t="s">
        <v>124</v>
      </c>
      <c r="D30" s="2" t="s">
        <v>135</v>
      </c>
      <c r="E30" s="14" t="n">
        <v>19100</v>
      </c>
      <c r="F30" s="15" t="n">
        <v>46158</v>
      </c>
      <c r="G30" s="2" t="s">
        <v>117</v>
      </c>
    </row>
    <row r="31" customFormat="false" ht="15" hidden="false" customHeight="false" outlineLevel="0" collapsed="false">
      <c r="A31" s="2" t="s">
        <v>155</v>
      </c>
      <c r="B31" s="2" t="s">
        <v>57</v>
      </c>
      <c r="C31" s="2" t="s">
        <v>115</v>
      </c>
      <c r="D31" s="2" t="s">
        <v>140</v>
      </c>
      <c r="E31" s="14" t="n">
        <v>14100</v>
      </c>
      <c r="F31" s="15" t="n">
        <v>46212</v>
      </c>
      <c r="G31" s="2" t="s">
        <v>113</v>
      </c>
    </row>
    <row r="32" customFormat="false" ht="15" hidden="false" customHeight="false" outlineLevel="0" collapsed="false">
      <c r="A32" s="2" t="s">
        <v>156</v>
      </c>
      <c r="B32" s="2" t="s">
        <v>74</v>
      </c>
      <c r="C32" s="2" t="s">
        <v>119</v>
      </c>
      <c r="D32" s="2" t="s">
        <v>116</v>
      </c>
      <c r="E32" s="14" t="n">
        <v>18850</v>
      </c>
      <c r="F32" s="15" t="n">
        <v>46075</v>
      </c>
      <c r="G32" s="2" t="s">
        <v>117</v>
      </c>
    </row>
    <row r="33" customFormat="false" ht="15" hidden="false" customHeight="false" outlineLevel="0" collapsed="false">
      <c r="A33" s="2" t="s">
        <v>157</v>
      </c>
      <c r="B33" s="2" t="s">
        <v>64</v>
      </c>
      <c r="C33" s="2" t="s">
        <v>133</v>
      </c>
      <c r="D33" s="2" t="s">
        <v>135</v>
      </c>
      <c r="E33" s="14" t="n">
        <v>19200</v>
      </c>
      <c r="F33" s="15" t="n">
        <v>46132</v>
      </c>
      <c r="G33" s="2" t="s">
        <v>121</v>
      </c>
    </row>
    <row r="34" customFormat="false" ht="15" hidden="false" customHeight="false" outlineLevel="0" collapsed="false">
      <c r="A34" s="2" t="s">
        <v>158</v>
      </c>
      <c r="B34" s="2" t="s">
        <v>42</v>
      </c>
      <c r="C34" s="2" t="s">
        <v>111</v>
      </c>
      <c r="D34" s="2" t="s">
        <v>116</v>
      </c>
      <c r="E34" s="14" t="n">
        <v>8350</v>
      </c>
      <c r="F34" s="15" t="n">
        <v>46213</v>
      </c>
      <c r="G34" s="2" t="s">
        <v>113</v>
      </c>
    </row>
    <row r="35" customFormat="false" ht="15" hidden="false" customHeight="false" outlineLevel="0" collapsed="false">
      <c r="A35" s="2" t="s">
        <v>159</v>
      </c>
      <c r="B35" s="2" t="s">
        <v>57</v>
      </c>
      <c r="C35" s="2" t="s">
        <v>133</v>
      </c>
      <c r="D35" s="2" t="s">
        <v>112</v>
      </c>
      <c r="E35" s="14" t="n">
        <v>9100</v>
      </c>
      <c r="F35" s="15" t="n">
        <v>46062</v>
      </c>
      <c r="G35" s="2" t="s">
        <v>117</v>
      </c>
    </row>
    <row r="36" customFormat="false" ht="15" hidden="false" customHeight="false" outlineLevel="0" collapsed="false">
      <c r="A36" s="2" t="s">
        <v>160</v>
      </c>
      <c r="B36" s="2" t="s">
        <v>57</v>
      </c>
      <c r="C36" s="2" t="s">
        <v>115</v>
      </c>
      <c r="D36" s="2" t="s">
        <v>116</v>
      </c>
      <c r="E36" s="14" t="n">
        <v>3250</v>
      </c>
      <c r="F36" s="15" t="n">
        <v>46140</v>
      </c>
      <c r="G36" s="2" t="s">
        <v>121</v>
      </c>
    </row>
    <row r="37" customFormat="false" ht="15" hidden="false" customHeight="false" outlineLevel="0" collapsed="false">
      <c r="A37" s="2" t="s">
        <v>161</v>
      </c>
      <c r="B37" s="2" t="s">
        <v>48</v>
      </c>
      <c r="C37" s="2" t="s">
        <v>133</v>
      </c>
      <c r="D37" s="2" t="s">
        <v>120</v>
      </c>
      <c r="E37" s="14" t="n">
        <v>14300</v>
      </c>
      <c r="F37" s="15" t="n">
        <v>46069</v>
      </c>
      <c r="G37" s="2" t="s">
        <v>113</v>
      </c>
    </row>
    <row r="38" customFormat="false" ht="15" hidden="false" customHeight="false" outlineLevel="0" collapsed="false">
      <c r="A38" s="2" t="s">
        <v>162</v>
      </c>
      <c r="B38" s="2" t="s">
        <v>71</v>
      </c>
      <c r="C38" s="2" t="s">
        <v>133</v>
      </c>
      <c r="D38" s="2" t="s">
        <v>140</v>
      </c>
      <c r="E38" s="14" t="n">
        <v>11950</v>
      </c>
      <c r="F38" s="15" t="n">
        <v>46069</v>
      </c>
      <c r="G38" s="2" t="s">
        <v>125</v>
      </c>
    </row>
    <row r="39" customFormat="false" ht="15" hidden="false" customHeight="false" outlineLevel="0" collapsed="false">
      <c r="A39" s="2" t="s">
        <v>163</v>
      </c>
      <c r="B39" s="2" t="s">
        <v>74</v>
      </c>
      <c r="C39" s="2" t="s">
        <v>115</v>
      </c>
      <c r="D39" s="2" t="s">
        <v>164</v>
      </c>
      <c r="E39" s="14" t="n">
        <v>5950</v>
      </c>
      <c r="F39" s="15" t="n">
        <v>46135</v>
      </c>
      <c r="G39" s="2" t="s">
        <v>113</v>
      </c>
    </row>
    <row r="40" customFormat="false" ht="15" hidden="false" customHeight="false" outlineLevel="0" collapsed="false">
      <c r="A40" s="2" t="s">
        <v>165</v>
      </c>
      <c r="B40" s="2" t="s">
        <v>60</v>
      </c>
      <c r="C40" s="2" t="s">
        <v>115</v>
      </c>
      <c r="D40" s="2" t="s">
        <v>62</v>
      </c>
      <c r="E40" s="14" t="n">
        <v>10000</v>
      </c>
      <c r="F40" s="15" t="n">
        <v>46041</v>
      </c>
      <c r="G40" s="2" t="s">
        <v>121</v>
      </c>
    </row>
    <row r="41" customFormat="false" ht="15" hidden="false" customHeight="false" outlineLevel="0" collapsed="false">
      <c r="A41" s="2" t="s">
        <v>166</v>
      </c>
      <c r="B41" s="2" t="s">
        <v>42</v>
      </c>
      <c r="C41" s="2" t="s">
        <v>115</v>
      </c>
      <c r="D41" s="2" t="s">
        <v>112</v>
      </c>
      <c r="E41" s="14" t="n">
        <v>3450</v>
      </c>
      <c r="F41" s="15" t="n">
        <v>46155</v>
      </c>
      <c r="G41" s="2" t="s">
        <v>121</v>
      </c>
    </row>
    <row r="42" customFormat="false" ht="15" hidden="false" customHeight="false" outlineLevel="0" collapsed="false">
      <c r="A42" s="2" t="s">
        <v>167</v>
      </c>
      <c r="B42" s="2" t="s">
        <v>52</v>
      </c>
      <c r="C42" s="2" t="s">
        <v>119</v>
      </c>
      <c r="D42" s="2" t="s">
        <v>127</v>
      </c>
      <c r="E42" s="14" t="n">
        <v>12300</v>
      </c>
      <c r="F42" s="15" t="n">
        <v>46179</v>
      </c>
      <c r="G42" s="2" t="s">
        <v>121</v>
      </c>
    </row>
    <row r="43" customFormat="false" ht="15" hidden="false" customHeight="false" outlineLevel="0" collapsed="false">
      <c r="A43" s="2" t="s">
        <v>168</v>
      </c>
      <c r="B43" s="2" t="s">
        <v>57</v>
      </c>
      <c r="C43" s="2" t="s">
        <v>119</v>
      </c>
      <c r="D43" s="2" t="s">
        <v>164</v>
      </c>
      <c r="E43" s="14" t="n">
        <v>18800</v>
      </c>
      <c r="F43" s="15" t="n">
        <v>46185</v>
      </c>
      <c r="G43" s="2" t="s">
        <v>125</v>
      </c>
    </row>
    <row r="44" customFormat="false" ht="15" hidden="false" customHeight="false" outlineLevel="0" collapsed="false">
      <c r="A44" s="2" t="s">
        <v>169</v>
      </c>
      <c r="B44" s="2" t="s">
        <v>60</v>
      </c>
      <c r="C44" s="2" t="s">
        <v>111</v>
      </c>
      <c r="D44" s="2" t="s">
        <v>62</v>
      </c>
      <c r="E44" s="14" t="n">
        <v>8750</v>
      </c>
      <c r="F44" s="15" t="n">
        <v>46198</v>
      </c>
      <c r="G44" s="2" t="s">
        <v>117</v>
      </c>
    </row>
    <row r="45" customFormat="false" ht="15" hidden="false" customHeight="false" outlineLevel="0" collapsed="false">
      <c r="A45" s="2" t="s">
        <v>170</v>
      </c>
      <c r="B45" s="2" t="s">
        <v>52</v>
      </c>
      <c r="C45" s="2" t="s">
        <v>111</v>
      </c>
      <c r="D45" s="2" t="s">
        <v>127</v>
      </c>
      <c r="E45" s="14" t="n">
        <v>2200</v>
      </c>
      <c r="F45" s="15" t="n">
        <v>46144</v>
      </c>
      <c r="G45" s="2" t="s">
        <v>117</v>
      </c>
    </row>
    <row r="46" customFormat="false" ht="15" hidden="false" customHeight="false" outlineLevel="0" collapsed="false">
      <c r="A46" s="2" t="s">
        <v>171</v>
      </c>
      <c r="B46" s="2" t="s">
        <v>48</v>
      </c>
      <c r="C46" s="2" t="s">
        <v>124</v>
      </c>
      <c r="D46" s="2" t="s">
        <v>120</v>
      </c>
      <c r="E46" s="14" t="n">
        <v>5350</v>
      </c>
      <c r="F46" s="15" t="n">
        <v>46164</v>
      </c>
      <c r="G46" s="2" t="s">
        <v>125</v>
      </c>
    </row>
    <row r="47" customFormat="false" ht="15" hidden="false" customHeight="false" outlineLevel="0" collapsed="false">
      <c r="A47" s="2" t="s">
        <v>172</v>
      </c>
      <c r="B47" s="2" t="s">
        <v>48</v>
      </c>
      <c r="C47" s="2" t="s">
        <v>111</v>
      </c>
      <c r="D47" s="2" t="s">
        <v>120</v>
      </c>
      <c r="E47" s="14" t="n">
        <v>13200</v>
      </c>
      <c r="F47" s="15" t="n">
        <v>46121</v>
      </c>
      <c r="G47" s="2" t="s">
        <v>125</v>
      </c>
    </row>
    <row r="48" customFormat="false" ht="15" hidden="false" customHeight="false" outlineLevel="0" collapsed="false">
      <c r="A48" s="2" t="s">
        <v>173</v>
      </c>
      <c r="B48" s="2" t="s">
        <v>42</v>
      </c>
      <c r="C48" s="2" t="s">
        <v>119</v>
      </c>
      <c r="D48" s="2" t="s">
        <v>112</v>
      </c>
      <c r="E48" s="14" t="n">
        <v>8750</v>
      </c>
      <c r="F48" s="15" t="n">
        <v>46196</v>
      </c>
      <c r="G48" s="2" t="s">
        <v>121</v>
      </c>
    </row>
    <row r="49" customFormat="false" ht="15" hidden="false" customHeight="false" outlineLevel="0" collapsed="false">
      <c r="A49" s="2" t="s">
        <v>174</v>
      </c>
      <c r="B49" s="2" t="s">
        <v>48</v>
      </c>
      <c r="C49" s="2" t="s">
        <v>111</v>
      </c>
      <c r="D49" s="2" t="s">
        <v>120</v>
      </c>
      <c r="E49" s="14" t="n">
        <v>10750</v>
      </c>
      <c r="F49" s="15" t="n">
        <v>46096</v>
      </c>
      <c r="G49" s="2" t="s">
        <v>113</v>
      </c>
    </row>
    <row r="50" customFormat="false" ht="15" hidden="false" customHeight="false" outlineLevel="0" collapsed="false">
      <c r="A50" s="2" t="s">
        <v>175</v>
      </c>
      <c r="B50" s="2" t="s">
        <v>60</v>
      </c>
      <c r="C50" s="2" t="s">
        <v>119</v>
      </c>
      <c r="D50" s="2" t="s">
        <v>62</v>
      </c>
      <c r="E50" s="14" t="n">
        <v>18200</v>
      </c>
      <c r="F50" s="15" t="n">
        <v>46091</v>
      </c>
      <c r="G50" s="2" t="s">
        <v>117</v>
      </c>
    </row>
    <row r="51" customFormat="false" ht="15" hidden="false" customHeight="false" outlineLevel="0" collapsed="false">
      <c r="A51" s="2" t="s">
        <v>176</v>
      </c>
      <c r="B51" s="2" t="s">
        <v>60</v>
      </c>
      <c r="C51" s="2" t="s">
        <v>111</v>
      </c>
      <c r="D51" s="2" t="s">
        <v>62</v>
      </c>
      <c r="E51" s="14" t="n">
        <v>18300</v>
      </c>
      <c r="F51" s="15" t="n">
        <v>46027</v>
      </c>
      <c r="G51" s="2" t="s">
        <v>125</v>
      </c>
    </row>
    <row r="52" customFormat="false" ht="15" hidden="false" customHeight="false" outlineLevel="0" collapsed="false">
      <c r="A52" s="2" t="s">
        <v>177</v>
      </c>
      <c r="B52" s="2" t="s">
        <v>52</v>
      </c>
      <c r="C52" s="2" t="s">
        <v>133</v>
      </c>
      <c r="D52" s="2" t="s">
        <v>127</v>
      </c>
      <c r="E52" s="14" t="n">
        <v>4850</v>
      </c>
      <c r="F52" s="15" t="n">
        <v>46168</v>
      </c>
      <c r="G52" s="2" t="s">
        <v>121</v>
      </c>
    </row>
    <row r="53" customFormat="false" ht="15" hidden="false" customHeight="false" outlineLevel="0" collapsed="false">
      <c r="A53" s="2" t="s">
        <v>178</v>
      </c>
      <c r="B53" s="2" t="s">
        <v>52</v>
      </c>
      <c r="C53" s="2" t="s">
        <v>111</v>
      </c>
      <c r="D53" s="2" t="s">
        <v>127</v>
      </c>
      <c r="E53" s="14" t="n">
        <v>13000</v>
      </c>
      <c r="F53" s="15" t="n">
        <v>46240</v>
      </c>
      <c r="G53" s="2" t="s">
        <v>113</v>
      </c>
    </row>
    <row r="54" customFormat="false" ht="15" hidden="false" customHeight="false" outlineLevel="0" collapsed="false">
      <c r="A54" s="2" t="s">
        <v>179</v>
      </c>
      <c r="B54" s="2" t="s">
        <v>42</v>
      </c>
      <c r="C54" s="2" t="s">
        <v>119</v>
      </c>
      <c r="D54" s="2" t="s">
        <v>131</v>
      </c>
      <c r="E54" s="14" t="n">
        <v>7350</v>
      </c>
      <c r="F54" s="15" t="n">
        <v>46120</v>
      </c>
      <c r="G54" s="2" t="s">
        <v>113</v>
      </c>
    </row>
    <row r="55" customFormat="false" ht="15" hidden="false" customHeight="false" outlineLevel="0" collapsed="false">
      <c r="A55" s="2" t="s">
        <v>180</v>
      </c>
      <c r="B55" s="2" t="s">
        <v>48</v>
      </c>
      <c r="C55" s="2" t="s">
        <v>115</v>
      </c>
      <c r="D55" s="2" t="s">
        <v>120</v>
      </c>
      <c r="E55" s="14" t="n">
        <v>17850</v>
      </c>
      <c r="F55" s="15" t="n">
        <v>46226</v>
      </c>
      <c r="G55" s="2" t="s">
        <v>113</v>
      </c>
    </row>
    <row r="56" customFormat="false" ht="15" hidden="false" customHeight="false" outlineLevel="0" collapsed="false">
      <c r="A56" s="2" t="s">
        <v>181</v>
      </c>
      <c r="B56" s="2" t="s">
        <v>57</v>
      </c>
      <c r="C56" s="2" t="s">
        <v>124</v>
      </c>
      <c r="D56" s="2" t="s">
        <v>164</v>
      </c>
      <c r="E56" s="14" t="n">
        <v>2600</v>
      </c>
      <c r="F56" s="15" t="n">
        <v>46231</v>
      </c>
      <c r="G56" s="2" t="s">
        <v>113</v>
      </c>
    </row>
    <row r="57" customFormat="false" ht="15" hidden="false" customHeight="false" outlineLevel="0" collapsed="false">
      <c r="A57" s="2" t="s">
        <v>182</v>
      </c>
      <c r="B57" s="2" t="s">
        <v>64</v>
      </c>
      <c r="C57" s="2" t="s">
        <v>124</v>
      </c>
      <c r="D57" s="2" t="s">
        <v>135</v>
      </c>
      <c r="E57" s="14" t="n">
        <v>6050</v>
      </c>
      <c r="F57" s="15" t="n">
        <v>46232</v>
      </c>
      <c r="G57" s="2" t="s">
        <v>121</v>
      </c>
    </row>
    <row r="58" customFormat="false" ht="15" hidden="false" customHeight="false" outlineLevel="0" collapsed="false">
      <c r="A58" s="2" t="s">
        <v>183</v>
      </c>
      <c r="B58" s="2" t="s">
        <v>71</v>
      </c>
      <c r="C58" s="2" t="s">
        <v>133</v>
      </c>
      <c r="D58" s="2" t="s">
        <v>140</v>
      </c>
      <c r="E58" s="14" t="n">
        <v>7100</v>
      </c>
      <c r="F58" s="15" t="n">
        <v>46246</v>
      </c>
      <c r="G58" s="2" t="s">
        <v>117</v>
      </c>
    </row>
    <row r="59" customFormat="false" ht="15" hidden="false" customHeight="false" outlineLevel="0" collapsed="false">
      <c r="A59" s="2" t="s">
        <v>184</v>
      </c>
      <c r="B59" s="2" t="s">
        <v>64</v>
      </c>
      <c r="C59" s="2" t="s">
        <v>124</v>
      </c>
      <c r="D59" s="2" t="s">
        <v>135</v>
      </c>
      <c r="E59" s="14" t="n">
        <v>2600</v>
      </c>
      <c r="F59" s="15" t="n">
        <v>46237</v>
      </c>
      <c r="G59" s="2" t="s">
        <v>113</v>
      </c>
    </row>
    <row r="60" customFormat="false" ht="15" hidden="false" customHeight="false" outlineLevel="0" collapsed="false">
      <c r="A60" s="2" t="s">
        <v>185</v>
      </c>
      <c r="B60" s="2" t="s">
        <v>71</v>
      </c>
      <c r="C60" s="2" t="s">
        <v>119</v>
      </c>
      <c r="D60" s="2" t="s">
        <v>140</v>
      </c>
      <c r="E60" s="14" t="n">
        <v>10950</v>
      </c>
      <c r="F60" s="15" t="n">
        <v>46098</v>
      </c>
      <c r="G60" s="2" t="s">
        <v>117</v>
      </c>
    </row>
    <row r="61" customFormat="false" ht="15" hidden="false" customHeight="false" outlineLevel="0" collapsed="false">
      <c r="A61" s="2" t="s">
        <v>186</v>
      </c>
      <c r="B61" s="2" t="s">
        <v>64</v>
      </c>
      <c r="C61" s="2" t="s">
        <v>111</v>
      </c>
      <c r="D61" s="2" t="s">
        <v>135</v>
      </c>
      <c r="E61" s="14" t="n">
        <v>16850</v>
      </c>
      <c r="F61" s="15" t="n">
        <v>46056</v>
      </c>
      <c r="G61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5"/>
  </cols>
  <sheetData>
    <row r="1" customFormat="false" ht="26.85" hidden="false" customHeight="false" outlineLevel="0" collapsed="false">
      <c r="A1" s="9" t="s">
        <v>187</v>
      </c>
      <c r="B1" s="9" t="s">
        <v>188</v>
      </c>
      <c r="C1" s="9" t="s">
        <v>104</v>
      </c>
      <c r="D1" s="9" t="s">
        <v>189</v>
      </c>
      <c r="E1" s="9" t="s">
        <v>190</v>
      </c>
      <c r="F1" s="9" t="s">
        <v>191</v>
      </c>
      <c r="G1" s="9" t="s">
        <v>192</v>
      </c>
    </row>
    <row r="2" customFormat="false" ht="15" hidden="false" customHeight="false" outlineLevel="0" collapsed="false">
      <c r="A2" s="2" t="s">
        <v>193</v>
      </c>
      <c r="B2" s="2" t="s">
        <v>194</v>
      </c>
      <c r="C2" s="2" t="s">
        <v>138</v>
      </c>
      <c r="D2" s="15" t="n">
        <v>46183</v>
      </c>
      <c r="E2" s="14" t="n">
        <v>7976.03</v>
      </c>
      <c r="F2" s="14" t="n">
        <v>1036.88</v>
      </c>
      <c r="G2" s="14" t="n">
        <v>9012.91</v>
      </c>
    </row>
    <row r="3" customFormat="false" ht="15" hidden="false" customHeight="false" outlineLevel="0" collapsed="false">
      <c r="A3" s="2" t="s">
        <v>195</v>
      </c>
      <c r="B3" s="2" t="s">
        <v>196</v>
      </c>
      <c r="C3" s="2" t="s">
        <v>182</v>
      </c>
      <c r="D3" s="15" t="n">
        <v>46270</v>
      </c>
      <c r="E3" s="14" t="n">
        <v>2776.31</v>
      </c>
      <c r="F3" s="14" t="n">
        <v>360.92</v>
      </c>
      <c r="G3" s="14" t="n">
        <v>3137.23</v>
      </c>
    </row>
    <row r="4" customFormat="false" ht="15" hidden="false" customHeight="false" outlineLevel="0" collapsed="false">
      <c r="A4" s="2" t="s">
        <v>197</v>
      </c>
      <c r="B4" s="2" t="s">
        <v>43</v>
      </c>
      <c r="C4" s="2" t="s">
        <v>179</v>
      </c>
      <c r="D4" s="15" t="n">
        <v>46158</v>
      </c>
      <c r="E4" s="14" t="n">
        <v>6734.49</v>
      </c>
      <c r="F4" s="14" t="n">
        <v>875.48</v>
      </c>
      <c r="G4" s="14" t="n">
        <v>7609.97</v>
      </c>
    </row>
    <row r="5" customFormat="false" ht="15" hidden="false" customHeight="false" outlineLevel="0" collapsed="false">
      <c r="A5" s="2" t="s">
        <v>198</v>
      </c>
      <c r="B5" s="2" t="s">
        <v>199</v>
      </c>
      <c r="C5" s="2" t="s">
        <v>177</v>
      </c>
      <c r="D5" s="15" t="n">
        <v>46208</v>
      </c>
      <c r="E5" s="14" t="n">
        <v>2199.23</v>
      </c>
      <c r="F5" s="14" t="n">
        <v>285.9</v>
      </c>
      <c r="G5" s="14" t="n">
        <v>2485.13</v>
      </c>
    </row>
    <row r="6" customFormat="false" ht="15" hidden="false" customHeight="false" outlineLevel="0" collapsed="false">
      <c r="A6" s="2" t="s">
        <v>200</v>
      </c>
      <c r="B6" s="2" t="s">
        <v>53</v>
      </c>
      <c r="C6" s="2" t="s">
        <v>150</v>
      </c>
      <c r="D6" s="15" t="n">
        <v>46193</v>
      </c>
      <c r="E6" s="14" t="n">
        <v>7070.6</v>
      </c>
      <c r="F6" s="14" t="n">
        <v>919.18</v>
      </c>
      <c r="G6" s="14" t="n">
        <v>7989.78</v>
      </c>
    </row>
    <row r="7" customFormat="false" ht="15" hidden="false" customHeight="false" outlineLevel="0" collapsed="false">
      <c r="A7" s="2" t="s">
        <v>201</v>
      </c>
      <c r="B7" s="2" t="s">
        <v>202</v>
      </c>
      <c r="C7" s="2" t="s">
        <v>132</v>
      </c>
      <c r="D7" s="15" t="n">
        <v>46118</v>
      </c>
      <c r="E7" s="14" t="n">
        <v>2372.87</v>
      </c>
      <c r="F7" s="14" t="n">
        <v>308.47</v>
      </c>
      <c r="G7" s="14" t="n">
        <v>2681.34</v>
      </c>
    </row>
    <row r="8" customFormat="false" ht="15" hidden="false" customHeight="false" outlineLevel="0" collapsed="false">
      <c r="A8" s="2" t="s">
        <v>203</v>
      </c>
      <c r="B8" s="2" t="s">
        <v>49</v>
      </c>
      <c r="C8" s="2" t="s">
        <v>161</v>
      </c>
      <c r="D8" s="15" t="n">
        <v>46090</v>
      </c>
      <c r="E8" s="14" t="n">
        <v>13086</v>
      </c>
      <c r="F8" s="14" t="n">
        <v>1701.18</v>
      </c>
      <c r="G8" s="14" t="n">
        <v>14787.18</v>
      </c>
    </row>
    <row r="9" customFormat="false" ht="15" hidden="false" customHeight="false" outlineLevel="0" collapsed="false">
      <c r="A9" s="2" t="s">
        <v>204</v>
      </c>
      <c r="B9" s="2" t="s">
        <v>49</v>
      </c>
      <c r="C9" s="2" t="s">
        <v>149</v>
      </c>
      <c r="D9" s="15" t="n">
        <v>46240</v>
      </c>
      <c r="E9" s="14" t="n">
        <v>4742.08</v>
      </c>
      <c r="F9" s="14" t="n">
        <v>616.47</v>
      </c>
      <c r="G9" s="14" t="n">
        <v>5358.55</v>
      </c>
    </row>
    <row r="10" customFormat="false" ht="15" hidden="false" customHeight="false" outlineLevel="0" collapsed="false">
      <c r="A10" s="2" t="s">
        <v>205</v>
      </c>
      <c r="B10" s="2" t="s">
        <v>98</v>
      </c>
      <c r="C10" s="2" t="s">
        <v>143</v>
      </c>
      <c r="D10" s="15" t="n">
        <v>46158</v>
      </c>
      <c r="E10" s="14" t="n">
        <v>6017.78</v>
      </c>
      <c r="F10" s="14" t="n">
        <v>782.31</v>
      </c>
      <c r="G10" s="14" t="n">
        <v>6800.09</v>
      </c>
    </row>
    <row r="11" customFormat="false" ht="15" hidden="false" customHeight="false" outlineLevel="0" collapsed="false">
      <c r="A11" s="2" t="s">
        <v>206</v>
      </c>
      <c r="B11" s="2" t="s">
        <v>199</v>
      </c>
      <c r="C11" s="2" t="s">
        <v>147</v>
      </c>
      <c r="D11" s="15" t="n">
        <v>46188</v>
      </c>
      <c r="E11" s="14" t="n">
        <v>1121.16</v>
      </c>
      <c r="F11" s="14" t="n">
        <v>145.75</v>
      </c>
      <c r="G11" s="14" t="n">
        <v>1266.91</v>
      </c>
    </row>
    <row r="12" customFormat="false" ht="15" hidden="false" customHeight="false" outlineLevel="0" collapsed="false">
      <c r="A12" s="2" t="s">
        <v>207</v>
      </c>
      <c r="B12" s="2" t="s">
        <v>58</v>
      </c>
      <c r="C12" s="2" t="s">
        <v>130</v>
      </c>
      <c r="D12" s="15" t="n">
        <v>46048</v>
      </c>
      <c r="E12" s="14" t="n">
        <v>3495.03</v>
      </c>
      <c r="F12" s="14" t="n">
        <v>523.38</v>
      </c>
      <c r="G12" s="14" t="n">
        <v>4018.41</v>
      </c>
    </row>
    <row r="13" customFormat="false" ht="15" hidden="false" customHeight="false" outlineLevel="0" collapsed="false">
      <c r="A13" s="2" t="s">
        <v>208</v>
      </c>
      <c r="B13" s="2" t="s">
        <v>72</v>
      </c>
      <c r="C13" s="2" t="s">
        <v>139</v>
      </c>
      <c r="D13" s="15" t="n">
        <v>46075</v>
      </c>
      <c r="E13" s="14" t="n">
        <v>7344.57</v>
      </c>
      <c r="F13" s="14" t="n">
        <v>954.79</v>
      </c>
      <c r="G13" s="14" t="n">
        <v>8299.36</v>
      </c>
    </row>
    <row r="14" customFormat="false" ht="15" hidden="false" customHeight="false" outlineLevel="0" collapsed="false">
      <c r="A14" s="2" t="s">
        <v>209</v>
      </c>
      <c r="B14" s="2" t="s">
        <v>49</v>
      </c>
      <c r="C14" s="2" t="s">
        <v>142</v>
      </c>
      <c r="D14" s="15" t="n">
        <v>46284</v>
      </c>
      <c r="E14" s="14" t="n">
        <v>16890.67</v>
      </c>
      <c r="F14" s="14" t="n">
        <v>2195.79</v>
      </c>
      <c r="G14" s="14" t="n">
        <v>19086.46</v>
      </c>
    </row>
    <row r="15" customFormat="false" ht="15" hidden="false" customHeight="false" outlineLevel="0" collapsed="false">
      <c r="A15" s="2" t="s">
        <v>210</v>
      </c>
      <c r="B15" s="2" t="s">
        <v>202</v>
      </c>
      <c r="C15" s="2" t="s">
        <v>129</v>
      </c>
      <c r="D15" s="15" t="n">
        <v>46084</v>
      </c>
      <c r="E15" s="14" t="n">
        <v>17049.81</v>
      </c>
      <c r="F15" s="14" t="n">
        <v>2216.48</v>
      </c>
      <c r="G15" s="14" t="n">
        <v>19266.29</v>
      </c>
    </row>
    <row r="16" customFormat="false" ht="15" hidden="false" customHeight="false" outlineLevel="0" collapsed="false">
      <c r="A16" s="2" t="s">
        <v>211</v>
      </c>
      <c r="B16" s="2" t="s">
        <v>58</v>
      </c>
      <c r="C16" s="2" t="s">
        <v>168</v>
      </c>
      <c r="D16" s="15" t="n">
        <v>46194</v>
      </c>
      <c r="E16" s="14" t="n">
        <v>8860.56</v>
      </c>
      <c r="F16" s="14" t="n">
        <v>1326.87</v>
      </c>
      <c r="G16" s="14" t="n">
        <v>10187.43</v>
      </c>
    </row>
    <row r="17" customFormat="false" ht="15" hidden="false" customHeight="false" outlineLevel="0" collapsed="false">
      <c r="A17" s="2" t="s">
        <v>212</v>
      </c>
      <c r="B17" s="2" t="s">
        <v>213</v>
      </c>
      <c r="C17" s="2" t="s">
        <v>153</v>
      </c>
      <c r="D17" s="15" t="n">
        <v>46075</v>
      </c>
      <c r="E17" s="14" t="n">
        <v>1748.4</v>
      </c>
      <c r="F17" s="14" t="n">
        <v>261.82</v>
      </c>
      <c r="G17" s="14" t="n">
        <v>2010.22</v>
      </c>
    </row>
    <row r="18" customFormat="false" ht="15" hidden="false" customHeight="false" outlineLevel="0" collapsed="false">
      <c r="A18" s="2" t="s">
        <v>214</v>
      </c>
      <c r="B18" s="2" t="s">
        <v>202</v>
      </c>
      <c r="C18" s="2" t="s">
        <v>128</v>
      </c>
      <c r="D18" s="15" t="n">
        <v>46268</v>
      </c>
      <c r="E18" s="14" t="n">
        <v>1612</v>
      </c>
      <c r="F18" s="14" t="n">
        <v>209.56</v>
      </c>
      <c r="G18" s="14" t="n">
        <v>1821.56</v>
      </c>
    </row>
    <row r="19" customFormat="false" ht="15" hidden="false" customHeight="false" outlineLevel="0" collapsed="false">
      <c r="A19" s="2" t="s">
        <v>215</v>
      </c>
      <c r="B19" s="2" t="s">
        <v>216</v>
      </c>
      <c r="C19" s="2" t="s">
        <v>176</v>
      </c>
      <c r="D19" s="15" t="n">
        <v>46049</v>
      </c>
      <c r="E19" s="14" t="n">
        <v>8675.72</v>
      </c>
      <c r="F19" s="14" t="n">
        <v>1127.84</v>
      </c>
      <c r="G19" s="14" t="n">
        <v>9803.56</v>
      </c>
    </row>
    <row r="20" customFormat="false" ht="15" hidden="false" customHeight="false" outlineLevel="0" collapsed="false">
      <c r="A20" s="2" t="s">
        <v>217</v>
      </c>
      <c r="B20" s="2" t="s">
        <v>87</v>
      </c>
      <c r="C20" s="2" t="s">
        <v>136</v>
      </c>
      <c r="D20" s="15" t="n">
        <v>46162</v>
      </c>
      <c r="E20" s="14" t="n">
        <v>6664.88</v>
      </c>
      <c r="F20" s="14" t="n">
        <v>998.07</v>
      </c>
      <c r="G20" s="14" t="n">
        <v>7662.95</v>
      </c>
    </row>
    <row r="21" customFormat="false" ht="15" hidden="false" customHeight="false" outlineLevel="0" collapsed="false">
      <c r="A21" s="2" t="s">
        <v>218</v>
      </c>
      <c r="B21" s="2" t="s">
        <v>49</v>
      </c>
      <c r="C21" s="2" t="s">
        <v>180</v>
      </c>
      <c r="D21" s="15" t="n">
        <v>46250</v>
      </c>
      <c r="E21" s="14" t="n">
        <v>6522.56</v>
      </c>
      <c r="F21" s="14" t="n">
        <v>847.93</v>
      </c>
      <c r="G21" s="14" t="n">
        <v>7330.49</v>
      </c>
    </row>
    <row r="22" customFormat="false" ht="15" hidden="false" customHeight="false" outlineLevel="0" collapsed="false">
      <c r="A22" s="2" t="s">
        <v>219</v>
      </c>
      <c r="B22" s="2" t="s">
        <v>220</v>
      </c>
      <c r="C22" s="2" t="s">
        <v>114</v>
      </c>
      <c r="D22" s="15" t="n">
        <v>46238</v>
      </c>
      <c r="E22" s="14" t="n">
        <v>7789.46</v>
      </c>
      <c r="F22" s="14" t="n">
        <v>934.74</v>
      </c>
      <c r="G22" s="14" t="n">
        <v>8724.2</v>
      </c>
    </row>
    <row r="23" customFormat="false" ht="15" hidden="false" customHeight="false" outlineLevel="0" collapsed="false">
      <c r="A23" s="2" t="s">
        <v>221</v>
      </c>
      <c r="B23" s="2" t="s">
        <v>58</v>
      </c>
      <c r="C23" s="2" t="s">
        <v>136</v>
      </c>
      <c r="D23" s="15" t="n">
        <v>46154</v>
      </c>
      <c r="E23" s="14" t="n">
        <v>9062.62</v>
      </c>
      <c r="F23" s="14" t="n">
        <v>1357.13</v>
      </c>
      <c r="G23" s="14" t="n">
        <v>10419.75</v>
      </c>
    </row>
    <row r="24" customFormat="false" ht="15" hidden="false" customHeight="false" outlineLevel="0" collapsed="false">
      <c r="A24" s="2" t="s">
        <v>222</v>
      </c>
      <c r="B24" s="2" t="s">
        <v>199</v>
      </c>
      <c r="C24" s="2"/>
      <c r="D24" s="15" t="n">
        <v>46176</v>
      </c>
      <c r="E24" s="14" t="n">
        <v>2087.85</v>
      </c>
      <c r="F24" s="14" t="n">
        <v>271.42</v>
      </c>
      <c r="G24" s="14" t="n">
        <v>2359.27</v>
      </c>
    </row>
    <row r="25" customFormat="false" ht="15" hidden="false" customHeight="false" outlineLevel="0" collapsed="false">
      <c r="A25" s="2" t="s">
        <v>223</v>
      </c>
      <c r="B25" s="2" t="s">
        <v>224</v>
      </c>
      <c r="C25" s="2" t="s">
        <v>118</v>
      </c>
      <c r="D25" s="15" t="n">
        <v>46046</v>
      </c>
      <c r="E25" s="14" t="n">
        <v>2842.76</v>
      </c>
      <c r="F25" s="14" t="n">
        <v>369.56</v>
      </c>
      <c r="G25" s="14" t="n">
        <v>3212.32</v>
      </c>
    </row>
    <row r="26" customFormat="false" ht="15" hidden="false" customHeight="false" outlineLevel="0" collapsed="false">
      <c r="A26" s="2" t="s">
        <v>225</v>
      </c>
      <c r="B26" s="2" t="s">
        <v>75</v>
      </c>
      <c r="C26" s="2" t="s">
        <v>156</v>
      </c>
      <c r="D26" s="15" t="n">
        <v>46109</v>
      </c>
      <c r="E26" s="14" t="n">
        <v>6754.55</v>
      </c>
      <c r="F26" s="14" t="n">
        <v>337.73</v>
      </c>
      <c r="G26" s="14" t="n">
        <v>7092.28</v>
      </c>
    </row>
    <row r="27" customFormat="false" ht="15" hidden="false" customHeight="false" outlineLevel="0" collapsed="false">
      <c r="A27" s="2" t="s">
        <v>226</v>
      </c>
      <c r="B27" s="2" t="s">
        <v>227</v>
      </c>
      <c r="C27" s="2"/>
      <c r="D27" s="15" t="n">
        <v>46256</v>
      </c>
      <c r="E27" s="14" t="n">
        <v>5998.08</v>
      </c>
      <c r="F27" s="14" t="n">
        <v>779.75</v>
      </c>
      <c r="G27" s="14" t="n">
        <v>6777.83</v>
      </c>
    </row>
    <row r="28" customFormat="false" ht="15" hidden="false" customHeight="false" outlineLevel="0" collapsed="false">
      <c r="A28" s="2" t="s">
        <v>228</v>
      </c>
      <c r="B28" s="2" t="s">
        <v>53</v>
      </c>
      <c r="C28" s="2" t="s">
        <v>167</v>
      </c>
      <c r="D28" s="15" t="n">
        <v>46186</v>
      </c>
      <c r="E28" s="14" t="n">
        <v>11842.12</v>
      </c>
      <c r="F28" s="14" t="n">
        <v>1539.48</v>
      </c>
      <c r="G28" s="14" t="n">
        <v>13381.6</v>
      </c>
    </row>
    <row r="29" customFormat="false" ht="15" hidden="false" customHeight="false" outlineLevel="0" collapsed="false">
      <c r="A29" s="2" t="s">
        <v>229</v>
      </c>
      <c r="B29" s="2" t="s">
        <v>194</v>
      </c>
      <c r="C29" s="2" t="s">
        <v>145</v>
      </c>
      <c r="D29" s="15" t="n">
        <v>46177</v>
      </c>
      <c r="E29" s="14" t="n">
        <v>735.56</v>
      </c>
      <c r="F29" s="14" t="n">
        <v>95.62</v>
      </c>
      <c r="G29" s="14" t="n">
        <v>831.18</v>
      </c>
    </row>
    <row r="30" customFormat="false" ht="15" hidden="false" customHeight="false" outlineLevel="0" collapsed="false">
      <c r="A30" s="2" t="s">
        <v>230</v>
      </c>
      <c r="B30" s="2" t="s">
        <v>87</v>
      </c>
      <c r="C30" s="2"/>
      <c r="D30" s="15" t="n">
        <v>46152</v>
      </c>
      <c r="E30" s="14" t="n">
        <v>2819.93</v>
      </c>
      <c r="F30" s="14" t="n">
        <v>422.28</v>
      </c>
      <c r="G30" s="14" t="n">
        <v>3242.21</v>
      </c>
    </row>
    <row r="31" customFormat="false" ht="15" hidden="false" customHeight="false" outlineLevel="0" collapsed="false">
      <c r="A31" s="2" t="s">
        <v>231</v>
      </c>
      <c r="B31" s="2" t="s">
        <v>232</v>
      </c>
      <c r="C31" s="2" t="s">
        <v>158</v>
      </c>
      <c r="D31" s="15" t="n">
        <v>46220</v>
      </c>
      <c r="E31" s="14" t="n">
        <v>3143.01</v>
      </c>
      <c r="F31" s="14" t="n">
        <v>408.59</v>
      </c>
      <c r="G31" s="14" t="n">
        <v>3551.6</v>
      </c>
    </row>
    <row r="32" customFormat="false" ht="15" hidden="false" customHeight="false" outlineLevel="0" collapsed="false">
      <c r="A32" s="2" t="s">
        <v>233</v>
      </c>
      <c r="B32" s="2" t="s">
        <v>92</v>
      </c>
      <c r="C32" s="2" t="s">
        <v>186</v>
      </c>
      <c r="D32" s="15" t="n">
        <v>46064</v>
      </c>
      <c r="E32" s="14" t="n">
        <v>15126.23</v>
      </c>
      <c r="F32" s="14" t="n">
        <v>1966.41</v>
      </c>
      <c r="G32" s="14" t="n">
        <v>17092.64</v>
      </c>
    </row>
    <row r="33" customFormat="false" ht="15" hidden="false" customHeight="false" outlineLevel="0" collapsed="false">
      <c r="A33" s="2" t="s">
        <v>234</v>
      </c>
      <c r="B33" s="2" t="s">
        <v>43</v>
      </c>
      <c r="C33" s="2" t="s">
        <v>144</v>
      </c>
      <c r="D33" s="15" t="n">
        <v>46223</v>
      </c>
      <c r="E33" s="14" t="n">
        <v>8901.74</v>
      </c>
      <c r="F33" s="14" t="n">
        <v>1157.23</v>
      </c>
      <c r="G33" s="14" t="n">
        <v>10058.97</v>
      </c>
    </row>
    <row r="34" customFormat="false" ht="15" hidden="false" customHeight="false" outlineLevel="0" collapsed="false">
      <c r="A34" s="2" t="s">
        <v>235</v>
      </c>
      <c r="B34" s="2" t="s">
        <v>43</v>
      </c>
      <c r="C34" s="2" t="s">
        <v>173</v>
      </c>
      <c r="D34" s="15" t="n">
        <v>46206</v>
      </c>
      <c r="E34" s="14" t="n">
        <v>4227.57</v>
      </c>
      <c r="F34" s="14" t="n">
        <v>549.58</v>
      </c>
      <c r="G34" s="14" t="n">
        <v>4777.15</v>
      </c>
    </row>
    <row r="35" customFormat="false" ht="15" hidden="false" customHeight="false" outlineLevel="0" collapsed="false">
      <c r="A35" s="2" t="s">
        <v>236</v>
      </c>
      <c r="B35" s="2" t="s">
        <v>202</v>
      </c>
      <c r="C35" s="2" t="s">
        <v>138</v>
      </c>
      <c r="D35" s="15" t="n">
        <v>46210</v>
      </c>
      <c r="E35" s="14" t="n">
        <v>6604.78</v>
      </c>
      <c r="F35" s="14" t="n">
        <v>858.62</v>
      </c>
      <c r="G35" s="14" t="n">
        <v>7463.4</v>
      </c>
    </row>
    <row r="36" customFormat="false" ht="15" hidden="false" customHeight="false" outlineLevel="0" collapsed="false">
      <c r="A36" s="2" t="s">
        <v>237</v>
      </c>
      <c r="B36" s="2" t="s">
        <v>199</v>
      </c>
      <c r="C36" s="2"/>
      <c r="D36" s="15" t="n">
        <v>46218</v>
      </c>
      <c r="E36" s="14" t="n">
        <v>2076.69</v>
      </c>
      <c r="F36" s="14" t="n">
        <v>269.97</v>
      </c>
      <c r="G36" s="14" t="n">
        <v>2346.66</v>
      </c>
    </row>
    <row r="37" customFormat="false" ht="15" hidden="false" customHeight="false" outlineLevel="0" collapsed="false">
      <c r="A37" s="2" t="s">
        <v>238</v>
      </c>
      <c r="B37" s="2" t="s">
        <v>58</v>
      </c>
      <c r="C37" s="2" t="s">
        <v>155</v>
      </c>
      <c r="D37" s="15" t="n">
        <v>46244</v>
      </c>
      <c r="E37" s="14" t="n">
        <v>12038.5</v>
      </c>
      <c r="F37" s="14" t="n">
        <v>1802.77</v>
      </c>
      <c r="G37" s="14" t="n">
        <v>13841.27</v>
      </c>
    </row>
    <row r="38" customFormat="false" ht="15" hidden="false" customHeight="false" outlineLevel="0" collapsed="false">
      <c r="A38" s="2" t="s">
        <v>239</v>
      </c>
      <c r="B38" s="2" t="s">
        <v>87</v>
      </c>
      <c r="C38" s="2" t="s">
        <v>153</v>
      </c>
      <c r="D38" s="15" t="n">
        <v>46079</v>
      </c>
      <c r="E38" s="14" t="n">
        <v>1292.2</v>
      </c>
      <c r="F38" s="14" t="n">
        <v>193.51</v>
      </c>
      <c r="G38" s="14" t="n">
        <v>1485.71</v>
      </c>
    </row>
    <row r="39" customFormat="false" ht="15" hidden="false" customHeight="false" outlineLevel="0" collapsed="false">
      <c r="A39" s="2" t="s">
        <v>240</v>
      </c>
      <c r="B39" s="2" t="s">
        <v>65</v>
      </c>
      <c r="C39" s="2" t="s">
        <v>184</v>
      </c>
      <c r="D39" s="15" t="n">
        <v>46259</v>
      </c>
      <c r="E39" s="14" t="n">
        <v>1202.21</v>
      </c>
      <c r="F39" s="14" t="n">
        <v>156.29</v>
      </c>
      <c r="G39" s="14" t="n">
        <v>1358.5</v>
      </c>
    </row>
    <row r="40" customFormat="false" ht="15" hidden="false" customHeight="false" outlineLevel="0" collapsed="false">
      <c r="A40" s="2" t="s">
        <v>241</v>
      </c>
      <c r="B40" s="2" t="s">
        <v>58</v>
      </c>
      <c r="C40" s="2" t="s">
        <v>159</v>
      </c>
      <c r="D40" s="15" t="n">
        <v>46068</v>
      </c>
      <c r="E40" s="14" t="n">
        <v>7988.99</v>
      </c>
      <c r="F40" s="14" t="n">
        <v>1196.35</v>
      </c>
      <c r="G40" s="14" t="n">
        <v>9185.34</v>
      </c>
    </row>
    <row r="41" customFormat="false" ht="15" hidden="false" customHeight="false" outlineLevel="0" collapsed="false">
      <c r="A41" s="2" t="s">
        <v>242</v>
      </c>
      <c r="B41" s="2" t="s">
        <v>75</v>
      </c>
      <c r="C41" s="2" t="s">
        <v>163</v>
      </c>
      <c r="D41" s="15" t="n">
        <v>46146</v>
      </c>
      <c r="E41" s="14" t="n">
        <v>5861.11</v>
      </c>
      <c r="F41" s="14" t="n">
        <v>293.06</v>
      </c>
      <c r="G41" s="14" t="n">
        <v>6154.17</v>
      </c>
    </row>
    <row r="42" customFormat="false" ht="15" hidden="false" customHeight="false" outlineLevel="0" collapsed="false">
      <c r="A42" s="2" t="s">
        <v>243</v>
      </c>
      <c r="B42" s="2" t="s">
        <v>194</v>
      </c>
      <c r="C42" s="2" t="s">
        <v>128</v>
      </c>
      <c r="D42" s="15" t="n">
        <v>46261</v>
      </c>
      <c r="E42" s="14" t="n">
        <v>2015</v>
      </c>
      <c r="F42" s="14" t="n">
        <v>261.95</v>
      </c>
      <c r="G42" s="14" t="n">
        <v>2236.95</v>
      </c>
    </row>
    <row r="43" customFormat="false" ht="15" hidden="false" customHeight="false" outlineLevel="0" collapsed="false">
      <c r="A43" s="2" t="s">
        <v>200</v>
      </c>
      <c r="B43" s="2" t="s">
        <v>53</v>
      </c>
      <c r="C43" s="2" t="s">
        <v>150</v>
      </c>
      <c r="D43" s="15" t="n">
        <v>46193</v>
      </c>
      <c r="E43" s="14" t="n">
        <v>7070.6</v>
      </c>
      <c r="F43" s="14" t="n">
        <v>919.18</v>
      </c>
      <c r="G43" s="14" t="n">
        <v>7989.78</v>
      </c>
    </row>
    <row r="44" customFormat="false" ht="15" hidden="false" customHeight="false" outlineLevel="0" collapsed="false">
      <c r="A44" s="2" t="s">
        <v>244</v>
      </c>
      <c r="B44" s="2" t="s">
        <v>213</v>
      </c>
      <c r="C44" s="2" t="s">
        <v>181</v>
      </c>
      <c r="D44" s="15" t="n">
        <v>46256</v>
      </c>
      <c r="E44" s="14" t="n">
        <v>1236.27</v>
      </c>
      <c r="F44" s="14" t="n">
        <v>185.13</v>
      </c>
      <c r="G44" s="14" t="n">
        <v>1421.4</v>
      </c>
    </row>
    <row r="45" customFormat="false" ht="15" hidden="false" customHeight="false" outlineLevel="0" collapsed="false">
      <c r="A45" s="2" t="s">
        <v>245</v>
      </c>
      <c r="B45" s="2" t="s">
        <v>80</v>
      </c>
      <c r="C45" s="2" t="s">
        <v>144</v>
      </c>
      <c r="D45" s="15" t="n">
        <v>46221</v>
      </c>
      <c r="E45" s="14" t="n">
        <v>6755.33</v>
      </c>
      <c r="F45" s="14" t="n">
        <v>878.19</v>
      </c>
      <c r="G45" s="14" t="n">
        <v>7633.52</v>
      </c>
    </row>
    <row r="46" customFormat="false" ht="15" hidden="false" customHeight="false" outlineLevel="0" collapsed="false">
      <c r="A46" s="2" t="s">
        <v>246</v>
      </c>
      <c r="B46" s="2" t="s">
        <v>65</v>
      </c>
      <c r="C46" s="2" t="s">
        <v>184</v>
      </c>
      <c r="D46" s="15" t="n">
        <v>46277</v>
      </c>
      <c r="E46" s="14" t="n">
        <v>1025.86</v>
      </c>
      <c r="F46" s="14" t="n">
        <v>133.36</v>
      </c>
      <c r="G46" s="14" t="n">
        <v>1271.72</v>
      </c>
    </row>
    <row r="47" customFormat="false" ht="15" hidden="false" customHeight="false" outlineLevel="0" collapsed="false">
      <c r="A47" s="2" t="s">
        <v>247</v>
      </c>
      <c r="B47" s="2" t="s">
        <v>49</v>
      </c>
      <c r="C47" s="2" t="s">
        <v>145</v>
      </c>
      <c r="D47" s="15" t="n">
        <v>46158</v>
      </c>
      <c r="E47" s="14" t="n">
        <v>973.64</v>
      </c>
      <c r="F47" s="14" t="n">
        <v>126.57</v>
      </c>
      <c r="G47" s="14" t="n">
        <v>1100.21</v>
      </c>
    </row>
    <row r="48" customFormat="false" ht="15" hidden="false" customHeight="false" outlineLevel="0" collapsed="false">
      <c r="A48" s="2" t="s">
        <v>248</v>
      </c>
      <c r="B48" s="2" t="s">
        <v>249</v>
      </c>
      <c r="C48" s="2" t="s">
        <v>146</v>
      </c>
      <c r="D48" s="15" t="n">
        <v>46201</v>
      </c>
      <c r="E48" s="14" t="n">
        <v>2603.01</v>
      </c>
      <c r="F48" s="14" t="n">
        <v>338.39</v>
      </c>
      <c r="G48" s="14" t="n">
        <v>2941.4</v>
      </c>
    </row>
    <row r="49" customFormat="false" ht="15" hidden="false" customHeight="false" outlineLevel="0" collapsed="false">
      <c r="A49" s="2" t="s">
        <v>250</v>
      </c>
      <c r="B49" s="2" t="s">
        <v>65</v>
      </c>
      <c r="C49" s="2" t="s">
        <v>134</v>
      </c>
      <c r="D49" s="15" t="n">
        <v>46212</v>
      </c>
      <c r="E49" s="14" t="n">
        <v>20709</v>
      </c>
      <c r="F49" s="14" t="n">
        <v>2692.17</v>
      </c>
      <c r="G49" s="14" t="n">
        <v>23401.17</v>
      </c>
    </row>
    <row r="50" customFormat="false" ht="15" hidden="false" customHeight="false" outlineLevel="0" collapsed="false">
      <c r="A50" s="2" t="s">
        <v>251</v>
      </c>
      <c r="B50" s="2" t="s">
        <v>202</v>
      </c>
      <c r="C50" s="2" t="s">
        <v>180</v>
      </c>
      <c r="D50" s="15" t="n">
        <v>46253</v>
      </c>
      <c r="E50" s="14" t="n">
        <v>8273.96</v>
      </c>
      <c r="F50" s="14" t="n">
        <v>1075.61</v>
      </c>
      <c r="G50" s="14" t="n">
        <v>9349.57</v>
      </c>
    </row>
    <row r="51" customFormat="false" ht="15" hidden="false" customHeight="false" outlineLevel="0" collapsed="false">
      <c r="A51" s="2" t="s">
        <v>252</v>
      </c>
      <c r="B51" s="2" t="s">
        <v>69</v>
      </c>
      <c r="C51" s="2" t="s">
        <v>110</v>
      </c>
      <c r="D51" s="15" t="n">
        <v>46050</v>
      </c>
      <c r="E51" s="14" t="n">
        <v>2784.1</v>
      </c>
      <c r="F51" s="14" t="n">
        <v>334.09</v>
      </c>
      <c r="G51" s="14" t="n">
        <v>3118.19</v>
      </c>
    </row>
    <row r="52" customFormat="false" ht="15" hidden="false" customHeight="false" outlineLevel="0" collapsed="false">
      <c r="A52" s="2" t="s">
        <v>253</v>
      </c>
      <c r="B52" s="2" t="s">
        <v>87</v>
      </c>
      <c r="C52" s="2" t="s">
        <v>181</v>
      </c>
      <c r="D52" s="15" t="n">
        <v>46247</v>
      </c>
      <c r="E52" s="14" t="n">
        <v>992.16</v>
      </c>
      <c r="F52" s="14" t="n">
        <v>148.58</v>
      </c>
      <c r="G52" s="14" t="n">
        <v>1140.74</v>
      </c>
    </row>
    <row r="53" customFormat="false" ht="15" hidden="false" customHeight="false" outlineLevel="0" collapsed="false">
      <c r="A53" s="2" t="s">
        <v>254</v>
      </c>
      <c r="B53" s="2" t="s">
        <v>199</v>
      </c>
      <c r="C53" s="2" t="s">
        <v>177</v>
      </c>
      <c r="D53" s="15" t="n">
        <v>46204</v>
      </c>
      <c r="E53" s="14" t="n">
        <v>1836.57</v>
      </c>
      <c r="F53" s="14" t="n">
        <v>238.75</v>
      </c>
      <c r="G53" s="14" t="n">
        <v>2075.32</v>
      </c>
    </row>
    <row r="54" customFormat="false" ht="15" hidden="false" customHeight="false" outlineLevel="0" collapsed="false">
      <c r="A54" s="2" t="s">
        <v>255</v>
      </c>
      <c r="B54" s="2" t="s">
        <v>256</v>
      </c>
      <c r="C54" s="2" t="s">
        <v>183</v>
      </c>
      <c r="D54" s="15" t="n">
        <v>46262</v>
      </c>
      <c r="E54" s="14" t="n">
        <v>6261.12</v>
      </c>
      <c r="F54" s="14" t="n">
        <v>813.95</v>
      </c>
      <c r="G54" s="14" t="n">
        <v>7075.07</v>
      </c>
    </row>
    <row r="55" customFormat="false" ht="15" hidden="false" customHeight="false" outlineLevel="0" collapsed="false">
      <c r="A55" s="2" t="s">
        <v>257</v>
      </c>
      <c r="B55" s="2" t="s">
        <v>69</v>
      </c>
      <c r="C55" s="2" t="s">
        <v>114</v>
      </c>
      <c r="D55" s="15" t="n">
        <v>46217</v>
      </c>
      <c r="E55" s="14" t="n">
        <v>6471.73</v>
      </c>
      <c r="F55" s="14" t="n">
        <v>776.61</v>
      </c>
      <c r="G55" s="14" t="n">
        <v>7248.34</v>
      </c>
    </row>
    <row r="56" customFormat="false" ht="15" hidden="false" customHeight="false" outlineLevel="0" collapsed="false">
      <c r="A56" s="2" t="s">
        <v>258</v>
      </c>
      <c r="B56" s="2" t="s">
        <v>196</v>
      </c>
      <c r="C56" s="2" t="s">
        <v>148</v>
      </c>
      <c r="D56" s="15" t="n">
        <v>46094</v>
      </c>
      <c r="E56" s="14" t="n">
        <v>16210.4</v>
      </c>
      <c r="F56" s="14" t="n">
        <v>2107.35</v>
      </c>
      <c r="G56" s="14" t="n">
        <v>18317.75</v>
      </c>
    </row>
    <row r="57" customFormat="false" ht="15" hidden="false" customHeight="false" outlineLevel="0" collapsed="false">
      <c r="A57" s="2" t="s">
        <v>259</v>
      </c>
      <c r="B57" s="2" t="s">
        <v>72</v>
      </c>
      <c r="C57" s="2" t="s">
        <v>185</v>
      </c>
      <c r="D57" s="15" t="n">
        <v>46134</v>
      </c>
      <c r="E57" s="14" t="n">
        <v>5142.68</v>
      </c>
      <c r="F57" s="14" t="n">
        <v>668.55</v>
      </c>
      <c r="G57" s="14" t="n">
        <v>5811.23</v>
      </c>
    </row>
    <row r="58" customFormat="false" ht="15" hidden="false" customHeight="false" outlineLevel="0" collapsed="false">
      <c r="A58" s="2" t="s">
        <v>260</v>
      </c>
      <c r="B58" s="2" t="s">
        <v>194</v>
      </c>
      <c r="C58" s="2" t="s">
        <v>172</v>
      </c>
      <c r="D58" s="15" t="n">
        <v>46143</v>
      </c>
      <c r="E58" s="14" t="n">
        <v>12024.94</v>
      </c>
      <c r="F58" s="14" t="n">
        <v>1563.24</v>
      </c>
      <c r="G58" s="14" t="n">
        <v>13588.18</v>
      </c>
    </row>
    <row r="59" customFormat="false" ht="15" hidden="false" customHeight="false" outlineLevel="0" collapsed="false">
      <c r="A59" s="2" t="s">
        <v>261</v>
      </c>
      <c r="B59" s="2" t="s">
        <v>196</v>
      </c>
      <c r="C59" s="2" t="s">
        <v>157</v>
      </c>
      <c r="D59" s="15" t="n">
        <v>46163</v>
      </c>
      <c r="E59" s="14" t="n">
        <v>12480</v>
      </c>
      <c r="F59" s="14" t="n">
        <v>1622.4</v>
      </c>
      <c r="G59" s="14" t="n">
        <v>14102.4</v>
      </c>
    </row>
    <row r="60" customFormat="false" ht="15" hidden="false" customHeight="false" outlineLevel="0" collapsed="false">
      <c r="A60" s="2" t="s">
        <v>262</v>
      </c>
      <c r="B60" s="2" t="s">
        <v>224</v>
      </c>
      <c r="C60" s="2" t="s">
        <v>118</v>
      </c>
      <c r="D60" s="15" t="n">
        <v>46060</v>
      </c>
      <c r="E60" s="14" t="n">
        <v>3906.8</v>
      </c>
      <c r="F60" s="14" t="n">
        <v>507.88</v>
      </c>
      <c r="G60" s="14" t="n">
        <v>4414.68</v>
      </c>
    </row>
    <row r="61" customFormat="false" ht="15" hidden="false" customHeight="false" outlineLevel="0" collapsed="false">
      <c r="A61" s="2" t="s">
        <v>263</v>
      </c>
      <c r="B61" s="2" t="s">
        <v>216</v>
      </c>
      <c r="C61" s="2" t="s">
        <v>151</v>
      </c>
      <c r="D61" s="15" t="n">
        <v>46217</v>
      </c>
      <c r="E61" s="14" t="n">
        <v>14082.17</v>
      </c>
      <c r="F61" s="14" t="n">
        <v>1830.68</v>
      </c>
      <c r="G61" s="14" t="n">
        <v>15912.85</v>
      </c>
    </row>
    <row r="62" customFormat="false" ht="15" hidden="false" customHeight="false" outlineLevel="0" collapsed="false">
      <c r="A62" s="2" t="s">
        <v>264</v>
      </c>
      <c r="B62" s="2" t="s">
        <v>98</v>
      </c>
      <c r="C62" s="2" t="s">
        <v>185</v>
      </c>
      <c r="D62" s="15" t="n">
        <v>46121</v>
      </c>
      <c r="E62" s="14" t="n">
        <v>4258.15</v>
      </c>
      <c r="F62" s="14" t="n">
        <v>553.56</v>
      </c>
      <c r="G62" s="14" t="n">
        <v>4811.71</v>
      </c>
    </row>
    <row r="63" customFormat="false" ht="15" hidden="false" customHeight="false" outlineLevel="0" collapsed="false">
      <c r="A63" s="2" t="s">
        <v>265</v>
      </c>
      <c r="B63" s="2" t="s">
        <v>249</v>
      </c>
      <c r="C63" s="2" t="s">
        <v>126</v>
      </c>
      <c r="D63" s="15" t="n">
        <v>46246</v>
      </c>
      <c r="E63" s="14" t="n">
        <v>4072.35</v>
      </c>
      <c r="F63" s="14" t="n">
        <v>529.41</v>
      </c>
      <c r="G63" s="14" t="n">
        <v>4601.76</v>
      </c>
    </row>
    <row r="64" customFormat="false" ht="15" hidden="false" customHeight="false" outlineLevel="0" collapsed="false">
      <c r="A64" s="2" t="s">
        <v>266</v>
      </c>
      <c r="B64" s="2" t="s">
        <v>267</v>
      </c>
      <c r="C64" s="2" t="s">
        <v>175</v>
      </c>
      <c r="D64" s="15" t="n">
        <v>46112</v>
      </c>
      <c r="E64" s="14" t="n">
        <v>6404.19</v>
      </c>
      <c r="F64" s="14" t="n">
        <v>832.54</v>
      </c>
      <c r="G64" s="14" t="n">
        <v>7236.73</v>
      </c>
    </row>
    <row r="65" customFormat="false" ht="15" hidden="false" customHeight="false" outlineLevel="0" collapsed="false">
      <c r="A65" s="2" t="s">
        <v>268</v>
      </c>
      <c r="B65" s="2" t="s">
        <v>249</v>
      </c>
      <c r="C65" s="2" t="s">
        <v>147</v>
      </c>
      <c r="D65" s="15" t="n">
        <v>46209</v>
      </c>
      <c r="E65" s="14" t="n">
        <v>947.27</v>
      </c>
      <c r="F65" s="14" t="n">
        <v>123.15</v>
      </c>
      <c r="G65" s="14" t="n">
        <v>1070.42</v>
      </c>
    </row>
    <row r="66" customFormat="false" ht="15" hidden="false" customHeight="false" outlineLevel="0" collapsed="false">
      <c r="A66" s="2" t="s">
        <v>269</v>
      </c>
      <c r="B66" s="2" t="s">
        <v>194</v>
      </c>
      <c r="C66" s="2" t="s">
        <v>171</v>
      </c>
      <c r="D66" s="15" t="n">
        <v>46203</v>
      </c>
      <c r="E66" s="14" t="n">
        <v>2061.14</v>
      </c>
      <c r="F66" s="14" t="n">
        <v>267.95</v>
      </c>
      <c r="G66" s="14" t="n">
        <v>2329.09</v>
      </c>
    </row>
    <row r="67" customFormat="false" ht="15" hidden="false" customHeight="false" outlineLevel="0" collapsed="false">
      <c r="A67" s="2" t="s">
        <v>270</v>
      </c>
      <c r="B67" s="2" t="s">
        <v>267</v>
      </c>
      <c r="C67" s="2"/>
      <c r="D67" s="15" t="n">
        <v>46226</v>
      </c>
      <c r="E67" s="14" t="n">
        <v>10325</v>
      </c>
      <c r="F67" s="14" t="n">
        <v>1342.25</v>
      </c>
      <c r="G67" s="14" t="n">
        <v>11667.25</v>
      </c>
    </row>
    <row r="68" customFormat="false" ht="15" hidden="false" customHeight="false" outlineLevel="0" collapsed="false">
      <c r="A68" s="2" t="s">
        <v>271</v>
      </c>
      <c r="B68" s="2" t="s">
        <v>98</v>
      </c>
      <c r="C68" s="2" t="s">
        <v>162</v>
      </c>
      <c r="D68" s="15" t="n">
        <v>46081</v>
      </c>
      <c r="E68" s="14" t="n">
        <v>11171.16</v>
      </c>
      <c r="F68" s="14" t="n">
        <v>1452.25</v>
      </c>
      <c r="G68" s="14" t="n">
        <v>12623.41</v>
      </c>
    </row>
    <row r="69" customFormat="false" ht="15" hidden="false" customHeight="false" outlineLevel="0" collapsed="false">
      <c r="A69" s="2" t="s">
        <v>272</v>
      </c>
      <c r="B69" s="2" t="s">
        <v>249</v>
      </c>
      <c r="C69" s="2" t="s">
        <v>178</v>
      </c>
      <c r="D69" s="15" t="n">
        <v>46264</v>
      </c>
      <c r="E69" s="14" t="n">
        <v>4923.62</v>
      </c>
      <c r="F69" s="14" t="n">
        <v>640.07</v>
      </c>
      <c r="G69" s="14" t="n">
        <v>5563.69</v>
      </c>
    </row>
    <row r="70" customFormat="false" ht="15" hidden="false" customHeight="false" outlineLevel="0" collapsed="false">
      <c r="A70" s="2" t="s">
        <v>209</v>
      </c>
      <c r="B70" s="2" t="s">
        <v>49</v>
      </c>
      <c r="C70" s="2" t="s">
        <v>142</v>
      </c>
      <c r="D70" s="15" t="n">
        <v>46284</v>
      </c>
      <c r="E70" s="14" t="n">
        <v>16890.67</v>
      </c>
      <c r="F70" s="14" t="n">
        <v>2195.79</v>
      </c>
      <c r="G70" s="14" t="n">
        <v>19086.46</v>
      </c>
    </row>
    <row r="71" customFormat="false" ht="15" hidden="false" customHeight="false" outlineLevel="0" collapsed="false">
      <c r="A71" s="2" t="s">
        <v>273</v>
      </c>
      <c r="B71" s="2" t="s">
        <v>80</v>
      </c>
      <c r="C71" s="2" t="s">
        <v>166</v>
      </c>
      <c r="D71" s="15" t="n">
        <v>46175</v>
      </c>
      <c r="E71" s="14" t="n">
        <v>1514.15</v>
      </c>
      <c r="F71" s="14" t="n">
        <v>196.84</v>
      </c>
      <c r="G71" s="14" t="n">
        <v>1710.99</v>
      </c>
    </row>
    <row r="72" customFormat="false" ht="15" hidden="false" customHeight="false" outlineLevel="0" collapsed="false">
      <c r="A72" s="2" t="s">
        <v>274</v>
      </c>
      <c r="B72" s="2" t="s">
        <v>216</v>
      </c>
      <c r="C72" s="2" t="s">
        <v>175</v>
      </c>
      <c r="D72" s="15" t="n">
        <v>46107</v>
      </c>
      <c r="E72" s="14" t="n">
        <v>8819.11</v>
      </c>
      <c r="F72" s="14" t="n">
        <v>1146.48</v>
      </c>
      <c r="G72" s="14" t="n">
        <v>9965.59</v>
      </c>
    </row>
    <row r="73" customFormat="false" ht="15" hidden="false" customHeight="false" outlineLevel="0" collapsed="false">
      <c r="A73" s="2" t="s">
        <v>275</v>
      </c>
      <c r="B73" s="2" t="s">
        <v>202</v>
      </c>
      <c r="C73" s="2" t="s">
        <v>171</v>
      </c>
      <c r="D73" s="15" t="n">
        <v>46186</v>
      </c>
      <c r="E73" s="14" t="n">
        <v>2635.32</v>
      </c>
      <c r="F73" s="14" t="n">
        <v>342.59</v>
      </c>
      <c r="G73" s="14" t="n">
        <v>2977.91</v>
      </c>
    </row>
    <row r="74" customFormat="false" ht="15" hidden="false" customHeight="false" outlineLevel="0" collapsed="false">
      <c r="A74" s="2" t="s">
        <v>218</v>
      </c>
      <c r="B74" s="2" t="s">
        <v>49</v>
      </c>
      <c r="C74" s="2" t="s">
        <v>180</v>
      </c>
      <c r="D74" s="15" t="n">
        <v>46250</v>
      </c>
      <c r="E74" s="14" t="n">
        <v>6522.56</v>
      </c>
      <c r="F74" s="14" t="n">
        <v>847.93</v>
      </c>
      <c r="G74" s="14" t="n">
        <v>7330.49</v>
      </c>
    </row>
    <row r="75" customFormat="false" ht="15" hidden="false" customHeight="false" outlineLevel="0" collapsed="false">
      <c r="A75" s="2" t="s">
        <v>276</v>
      </c>
      <c r="B75" s="2" t="s">
        <v>213</v>
      </c>
      <c r="C75" s="2" t="s">
        <v>168</v>
      </c>
      <c r="D75" s="15" t="n">
        <v>46190</v>
      </c>
      <c r="E75" s="14" t="n">
        <v>7073.73</v>
      </c>
      <c r="F75" s="14" t="n">
        <v>1059.29</v>
      </c>
      <c r="G75" s="14" t="n">
        <v>8133.02</v>
      </c>
    </row>
    <row r="76" customFormat="false" ht="15" hidden="false" customHeight="false" outlineLevel="0" collapsed="false">
      <c r="A76" s="2" t="s">
        <v>277</v>
      </c>
      <c r="B76" s="2" t="s">
        <v>65</v>
      </c>
      <c r="C76" s="2" t="s">
        <v>137</v>
      </c>
      <c r="D76" s="15" t="n">
        <v>46105</v>
      </c>
      <c r="E76" s="14" t="n">
        <v>11260.36</v>
      </c>
      <c r="F76" s="14" t="n">
        <v>1463.85</v>
      </c>
      <c r="G76" s="14" t="n">
        <v>12724.21</v>
      </c>
    </row>
    <row r="77" customFormat="false" ht="15" hidden="false" customHeight="false" outlineLevel="0" collapsed="false">
      <c r="A77" s="2" t="s">
        <v>278</v>
      </c>
      <c r="B77" s="2" t="s">
        <v>224</v>
      </c>
      <c r="C77" s="2" t="s">
        <v>122</v>
      </c>
      <c r="D77" s="15" t="n">
        <v>46241</v>
      </c>
      <c r="E77" s="14" t="n">
        <v>6999.58</v>
      </c>
      <c r="F77" s="14" t="n">
        <v>909.95</v>
      </c>
      <c r="G77" s="14" t="n">
        <v>7934.53</v>
      </c>
    </row>
    <row r="78" customFormat="false" ht="15" hidden="false" customHeight="false" outlineLevel="0" collapsed="false">
      <c r="A78" s="2" t="s">
        <v>279</v>
      </c>
      <c r="B78" s="2" t="s">
        <v>216</v>
      </c>
      <c r="C78" s="2" t="s">
        <v>165</v>
      </c>
      <c r="D78" s="15" t="n">
        <v>46070</v>
      </c>
      <c r="E78" s="14" t="n">
        <v>9306.12</v>
      </c>
      <c r="F78" s="14" t="n">
        <v>1209.8</v>
      </c>
      <c r="G78" s="14" t="n">
        <v>10515.92</v>
      </c>
    </row>
    <row r="79" customFormat="false" ht="15" hidden="false" customHeight="false" outlineLevel="0" collapsed="false">
      <c r="A79" s="2" t="s">
        <v>280</v>
      </c>
      <c r="B79" s="2" t="s">
        <v>249</v>
      </c>
      <c r="C79" s="2" t="s">
        <v>178</v>
      </c>
      <c r="D79" s="15" t="n">
        <v>46259</v>
      </c>
      <c r="E79" s="14" t="n">
        <v>5609.68</v>
      </c>
      <c r="F79" s="14" t="n">
        <v>729.26</v>
      </c>
      <c r="G79" s="14" t="n">
        <v>6338.94</v>
      </c>
    </row>
    <row r="80" customFormat="false" ht="15" hidden="false" customHeight="false" outlineLevel="0" collapsed="false">
      <c r="A80" s="2" t="s">
        <v>281</v>
      </c>
      <c r="B80" s="2" t="s">
        <v>69</v>
      </c>
      <c r="C80" s="2" t="s">
        <v>110</v>
      </c>
      <c r="D80" s="15" t="n">
        <v>46070</v>
      </c>
      <c r="E80" s="14" t="n">
        <v>3507.72</v>
      </c>
      <c r="F80" s="14" t="n">
        <v>420.93</v>
      </c>
      <c r="G80" s="14" t="n">
        <v>3928.65</v>
      </c>
    </row>
    <row r="81" customFormat="false" ht="15" hidden="false" customHeight="false" outlineLevel="0" collapsed="false">
      <c r="A81" s="2" t="s">
        <v>282</v>
      </c>
      <c r="B81" s="2" t="s">
        <v>101</v>
      </c>
      <c r="C81" s="2" t="s">
        <v>156</v>
      </c>
      <c r="D81" s="15" t="n">
        <v>46096</v>
      </c>
      <c r="E81" s="14" t="n">
        <v>8251.04</v>
      </c>
      <c r="F81" s="14" t="n">
        <v>412.55</v>
      </c>
      <c r="G81" s="14" t="n">
        <v>8663.59</v>
      </c>
    </row>
    <row r="82" customFormat="false" ht="15" hidden="false" customHeight="false" outlineLevel="0" collapsed="false">
      <c r="A82" s="2" t="s">
        <v>283</v>
      </c>
      <c r="B82" s="2" t="s">
        <v>216</v>
      </c>
      <c r="C82" s="2" t="s">
        <v>123</v>
      </c>
      <c r="D82" s="15" t="n">
        <v>46234</v>
      </c>
      <c r="E82" s="14" t="n">
        <v>4768.95</v>
      </c>
      <c r="F82" s="14" t="n">
        <v>619.96</v>
      </c>
      <c r="G82" s="14" t="n">
        <v>5388.91</v>
      </c>
    </row>
    <row r="83" customFormat="false" ht="15" hidden="false" customHeight="false" outlineLevel="0" collapsed="false">
      <c r="A83" s="2" t="s">
        <v>284</v>
      </c>
      <c r="B83" s="2" t="s">
        <v>80</v>
      </c>
      <c r="C83" s="2" t="s">
        <v>158</v>
      </c>
      <c r="D83" s="15" t="n">
        <v>46240</v>
      </c>
      <c r="E83" s="14" t="n">
        <v>3579.19</v>
      </c>
      <c r="F83" s="14" t="n">
        <v>465.29</v>
      </c>
      <c r="G83" s="14" t="n">
        <v>4044.48</v>
      </c>
    </row>
    <row r="84" customFormat="false" ht="15" hidden="false" customHeight="false" outlineLevel="0" collapsed="false">
      <c r="A84" s="2" t="s">
        <v>223</v>
      </c>
      <c r="B84" s="2" t="s">
        <v>224</v>
      </c>
      <c r="C84" s="2" t="s">
        <v>118</v>
      </c>
      <c r="D84" s="15" t="n">
        <v>46046</v>
      </c>
      <c r="E84" s="14" t="n">
        <v>2842.76</v>
      </c>
      <c r="F84" s="14" t="n">
        <v>369.56</v>
      </c>
      <c r="G84" s="14" t="n">
        <v>3212.32</v>
      </c>
    </row>
    <row r="85" customFormat="false" ht="15" hidden="false" customHeight="false" outlineLevel="0" collapsed="false">
      <c r="A85" s="2" t="s">
        <v>285</v>
      </c>
      <c r="B85" s="2" t="s">
        <v>202</v>
      </c>
      <c r="C85" s="2" t="s">
        <v>152</v>
      </c>
      <c r="D85" s="15" t="n">
        <v>46090</v>
      </c>
      <c r="E85" s="14" t="n">
        <v>2277.54</v>
      </c>
      <c r="F85" s="14" t="n">
        <v>296.08</v>
      </c>
      <c r="G85" s="14" t="n">
        <v>2573.62</v>
      </c>
    </row>
    <row r="86" customFormat="false" ht="15" hidden="false" customHeight="false" outlineLevel="0" collapsed="false">
      <c r="A86" s="2" t="s">
        <v>286</v>
      </c>
      <c r="B86" s="2" t="s">
        <v>267</v>
      </c>
      <c r="C86" s="2"/>
      <c r="D86" s="15" t="n">
        <v>46250</v>
      </c>
      <c r="E86" s="14" t="n">
        <v>3889.93</v>
      </c>
      <c r="F86" s="14" t="n">
        <v>505.69</v>
      </c>
      <c r="G86" s="14" t="n">
        <v>4395.62</v>
      </c>
    </row>
    <row r="87" customFormat="false" ht="15" hidden="false" customHeight="false" outlineLevel="0" collapsed="false">
      <c r="A87" s="2" t="s">
        <v>287</v>
      </c>
      <c r="B87" s="2" t="s">
        <v>196</v>
      </c>
      <c r="C87" s="2" t="s">
        <v>154</v>
      </c>
      <c r="D87" s="15" t="n">
        <v>46188</v>
      </c>
      <c r="E87" s="14" t="n">
        <v>17663.25</v>
      </c>
      <c r="F87" s="14" t="n">
        <v>2296.22</v>
      </c>
      <c r="G87" s="14" t="n">
        <v>19959.47</v>
      </c>
    </row>
    <row r="88" customFormat="false" ht="15" hidden="false" customHeight="false" outlineLevel="0" collapsed="false">
      <c r="A88" s="2" t="s">
        <v>288</v>
      </c>
      <c r="B88" s="2" t="s">
        <v>216</v>
      </c>
      <c r="C88" s="2" t="s">
        <v>176</v>
      </c>
      <c r="D88" s="15" t="n">
        <v>46044</v>
      </c>
      <c r="E88" s="14" t="n">
        <v>6232.4</v>
      </c>
      <c r="F88" s="14" t="n">
        <v>810.21</v>
      </c>
      <c r="G88" s="14" t="n">
        <v>7042.61</v>
      </c>
    </row>
    <row r="89" customFormat="false" ht="15" hidden="false" customHeight="false" outlineLevel="0" collapsed="false">
      <c r="A89" s="2" t="s">
        <v>289</v>
      </c>
      <c r="B89" s="2" t="s">
        <v>290</v>
      </c>
      <c r="C89" s="2"/>
      <c r="D89" s="15" t="n">
        <v>46235</v>
      </c>
      <c r="E89" s="14" t="n">
        <v>4142.05</v>
      </c>
      <c r="F89" s="14" t="n">
        <v>538.47</v>
      </c>
      <c r="G89" s="14" t="n">
        <v>4680.52</v>
      </c>
    </row>
    <row r="90" customFormat="false" ht="15" hidden="false" customHeight="false" outlineLevel="0" collapsed="false">
      <c r="A90" s="2" t="s">
        <v>291</v>
      </c>
      <c r="B90" s="2" t="s">
        <v>202</v>
      </c>
      <c r="C90" s="2"/>
      <c r="D90" s="15" t="n">
        <v>46124</v>
      </c>
      <c r="E90" s="14" t="n">
        <v>2886.23</v>
      </c>
      <c r="F90" s="14" t="n">
        <v>375.21</v>
      </c>
      <c r="G90" s="14" t="n">
        <v>3261.44</v>
      </c>
    </row>
    <row r="91" customFormat="false" ht="15" hidden="false" customHeight="false" outlineLevel="0" collapsed="false">
      <c r="A91" s="2" t="s">
        <v>292</v>
      </c>
      <c r="B91" s="2" t="s">
        <v>43</v>
      </c>
      <c r="C91" s="2" t="s">
        <v>166</v>
      </c>
      <c r="D91" s="15" t="n">
        <v>46179</v>
      </c>
      <c r="E91" s="14" t="n">
        <v>1307.7</v>
      </c>
      <c r="F91" s="14" t="n">
        <v>170</v>
      </c>
      <c r="G91" s="14" t="n">
        <v>1477.7</v>
      </c>
    </row>
    <row r="92" customFormat="false" ht="15" hidden="false" customHeight="false" outlineLevel="0" collapsed="false">
      <c r="A92" s="2" t="s">
        <v>293</v>
      </c>
      <c r="B92" s="2" t="s">
        <v>72</v>
      </c>
      <c r="C92" s="2" t="s">
        <v>141</v>
      </c>
      <c r="D92" s="15" t="n">
        <v>46159</v>
      </c>
      <c r="E92" s="14" t="n">
        <v>14151.91</v>
      </c>
      <c r="F92" s="14" t="n">
        <v>1839.75</v>
      </c>
      <c r="G92" s="14" t="n">
        <v>15991.66</v>
      </c>
    </row>
    <row r="93" customFormat="false" ht="15" hidden="false" customHeight="false" outlineLevel="0" collapsed="false">
      <c r="A93" s="2" t="s">
        <v>294</v>
      </c>
      <c r="B93" s="2" t="s">
        <v>92</v>
      </c>
      <c r="C93" s="2" t="s">
        <v>182</v>
      </c>
      <c r="D93" s="15" t="n">
        <v>46243</v>
      </c>
      <c r="E93" s="14" t="n">
        <v>2152.88</v>
      </c>
      <c r="F93" s="14" t="n">
        <v>279.87</v>
      </c>
      <c r="G93" s="14" t="n">
        <v>2432.75</v>
      </c>
    </row>
    <row r="94" customFormat="false" ht="15" hidden="false" customHeight="false" outlineLevel="0" collapsed="false">
      <c r="A94" s="2" t="s">
        <v>295</v>
      </c>
      <c r="B94" s="2" t="s">
        <v>232</v>
      </c>
      <c r="C94" s="2" t="s">
        <v>173</v>
      </c>
      <c r="D94" s="15" t="n">
        <v>46216</v>
      </c>
      <c r="E94" s="14" t="n">
        <v>3407</v>
      </c>
      <c r="F94" s="14" t="n">
        <v>442.91</v>
      </c>
      <c r="G94" s="14" t="n">
        <v>3849.91</v>
      </c>
    </row>
    <row r="95" customFormat="false" ht="15" hidden="false" customHeight="false" outlineLevel="0" collapsed="false">
      <c r="A95" s="2" t="s">
        <v>296</v>
      </c>
      <c r="B95" s="2" t="s">
        <v>72</v>
      </c>
      <c r="C95" s="2" t="s">
        <v>143</v>
      </c>
      <c r="D95" s="15" t="n">
        <v>46140</v>
      </c>
      <c r="E95" s="14" t="n">
        <v>7071.32</v>
      </c>
      <c r="F95" s="14" t="n">
        <v>919.27</v>
      </c>
      <c r="G95" s="14" t="n">
        <v>7990.59</v>
      </c>
    </row>
    <row r="96" customFormat="false" ht="15" hidden="false" customHeight="false" outlineLevel="0" collapsed="false">
      <c r="A96" s="2" t="s">
        <v>297</v>
      </c>
      <c r="B96" s="2" t="s">
        <v>202</v>
      </c>
      <c r="C96" s="2" t="s">
        <v>174</v>
      </c>
      <c r="D96" s="15" t="n">
        <v>46125</v>
      </c>
      <c r="E96" s="14" t="n">
        <v>10056.05</v>
      </c>
      <c r="F96" s="14" t="n">
        <v>1307.29</v>
      </c>
      <c r="G96" s="14" t="n">
        <v>11363.34</v>
      </c>
    </row>
    <row r="97" customFormat="false" ht="15" hidden="false" customHeight="false" outlineLevel="0" collapsed="false">
      <c r="A97" s="2" t="s">
        <v>298</v>
      </c>
      <c r="B97" s="2" t="s">
        <v>92</v>
      </c>
      <c r="C97" s="2" t="s">
        <v>157</v>
      </c>
      <c r="D97" s="15" t="n">
        <v>46167</v>
      </c>
      <c r="E97" s="14" t="n">
        <v>9984</v>
      </c>
      <c r="F97" s="14" t="n">
        <v>1297.92</v>
      </c>
      <c r="G97" s="14" t="n">
        <v>11281.92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9" t="s">
        <v>299</v>
      </c>
      <c r="B1" s="9" t="s">
        <v>300</v>
      </c>
      <c r="C1" s="9" t="s">
        <v>301</v>
      </c>
      <c r="D1" s="9" t="s">
        <v>302</v>
      </c>
      <c r="E1" s="9" t="s">
        <v>303</v>
      </c>
      <c r="F1" s="9" t="s">
        <v>304</v>
      </c>
    </row>
    <row r="2" customFormat="false" ht="15" hidden="false" customHeight="false" outlineLevel="0" collapsed="false">
      <c r="A2" s="2" t="s">
        <v>305</v>
      </c>
      <c r="B2" s="2" t="s">
        <v>306</v>
      </c>
      <c r="C2" s="15" t="n">
        <v>46182</v>
      </c>
      <c r="D2" s="14" t="n">
        <v>7662.95</v>
      </c>
      <c r="E2" s="2" t="s">
        <v>307</v>
      </c>
      <c r="F2" s="2" t="str">
        <f aca="false">IF(ISNUMBER(SEARCH("-",B2)),B2,"INV-"&amp;MID(B2,4,20))</f>
        <v>INV-10036</v>
      </c>
    </row>
    <row r="3" customFormat="false" ht="15" hidden="false" customHeight="false" outlineLevel="0" collapsed="false">
      <c r="A3" s="2" t="s">
        <v>308</v>
      </c>
      <c r="B3" s="2" t="s">
        <v>297</v>
      </c>
      <c r="C3" s="15" t="n">
        <v>46149</v>
      </c>
      <c r="D3" s="14" t="n">
        <v>11363.34</v>
      </c>
      <c r="E3" s="2" t="s">
        <v>307</v>
      </c>
      <c r="F3" s="2" t="str">
        <f aca="false">IF(ISNUMBER(SEARCH("-",B3)),B3,"INV-"&amp;MID(B3,4,20))</f>
        <v>INV-10145</v>
      </c>
    </row>
    <row r="4" customFormat="false" ht="15" hidden="false" customHeight="false" outlineLevel="0" collapsed="false">
      <c r="A4" s="2" t="s">
        <v>309</v>
      </c>
      <c r="B4" s="2" t="s">
        <v>268</v>
      </c>
      <c r="C4" s="15" t="n">
        <v>46251</v>
      </c>
      <c r="D4" s="14" t="n">
        <v>1070.42</v>
      </c>
      <c r="E4" s="2" t="s">
        <v>307</v>
      </c>
      <c r="F4" s="2" t="str">
        <f aca="false">IF(ISNUMBER(SEARCH("-",B4)),B4,"INV-"&amp;MID(B4,4,20))</f>
        <v>INV-10071</v>
      </c>
    </row>
    <row r="5" customFormat="false" ht="15" hidden="false" customHeight="false" outlineLevel="0" collapsed="false">
      <c r="A5" s="2" t="s">
        <v>310</v>
      </c>
      <c r="B5" s="2" t="s">
        <v>237</v>
      </c>
      <c r="C5" s="15" t="n">
        <v>46260</v>
      </c>
      <c r="D5" s="14" t="n">
        <v>2346.66</v>
      </c>
      <c r="E5" s="2" t="s">
        <v>307</v>
      </c>
      <c r="F5" s="2" t="str">
        <f aca="false">IF(ISNUMBER(SEARCH("-",B5)),B5,"INV-"&amp;MID(B5,4,20))</f>
        <v>INV-10067</v>
      </c>
    </row>
    <row r="6" customFormat="false" ht="15" hidden="false" customHeight="false" outlineLevel="0" collapsed="false">
      <c r="A6" s="2" t="s">
        <v>311</v>
      </c>
      <c r="B6" s="2" t="s">
        <v>312</v>
      </c>
      <c r="C6" s="15" t="n">
        <v>46099</v>
      </c>
      <c r="D6" s="14" t="n">
        <v>2010.22</v>
      </c>
      <c r="E6" s="2" t="s">
        <v>307</v>
      </c>
      <c r="F6" s="2" t="str">
        <f aca="false">IF(ISNUMBER(SEARCH("-",B6)),B6,"INV-"&amp;MID(B6,4,20))</f>
        <v>INV-10087</v>
      </c>
    </row>
    <row r="7" customFormat="false" ht="15" hidden="false" customHeight="false" outlineLevel="0" collapsed="false">
      <c r="A7" s="2" t="s">
        <v>313</v>
      </c>
      <c r="B7" s="2" t="s">
        <v>314</v>
      </c>
      <c r="C7" s="15" t="n">
        <v>46229</v>
      </c>
      <c r="D7" s="14" t="n">
        <v>1266.91</v>
      </c>
      <c r="E7" s="2" t="s">
        <v>307</v>
      </c>
      <c r="F7" s="2" t="str">
        <f aca="false">IF(ISNUMBER(SEARCH("-",B7)),B7,"INV-"&amp;MID(B7,4,20))</f>
        <v>INV-10070</v>
      </c>
    </row>
    <row r="8" customFormat="false" ht="15" hidden="false" customHeight="false" outlineLevel="0" collapsed="false">
      <c r="A8" s="2" t="s">
        <v>315</v>
      </c>
      <c r="B8" s="2" t="s">
        <v>262</v>
      </c>
      <c r="C8" s="15" t="n">
        <v>46092</v>
      </c>
      <c r="D8" s="14" t="n">
        <v>4414.68</v>
      </c>
      <c r="E8" s="2" t="s">
        <v>307</v>
      </c>
      <c r="F8" s="2" t="str">
        <f aca="false">IF(ISNUMBER(SEARCH("-",B8)),B8,"INV-"&amp;MID(B8,4,20))</f>
        <v>INV-10010</v>
      </c>
    </row>
    <row r="9" customFormat="false" ht="15" hidden="false" customHeight="false" outlineLevel="0" collapsed="false">
      <c r="A9" s="2" t="s">
        <v>316</v>
      </c>
      <c r="B9" s="2" t="s">
        <v>208</v>
      </c>
      <c r="C9" s="15" t="n">
        <v>46095</v>
      </c>
      <c r="D9" s="14" t="n">
        <v>8299.36</v>
      </c>
      <c r="E9" s="2" t="s">
        <v>307</v>
      </c>
      <c r="F9" s="2" t="str">
        <f aca="false">IF(ISNUMBER(SEARCH("-",B9)),B9,"INV-"&amp;MID(B9,4,20))</f>
        <v>INV-10046</v>
      </c>
    </row>
    <row r="10" customFormat="false" ht="15" hidden="false" customHeight="false" outlineLevel="0" collapsed="false">
      <c r="A10" s="2" t="s">
        <v>317</v>
      </c>
      <c r="B10" s="2" t="s">
        <v>318</v>
      </c>
      <c r="C10" s="15" t="n">
        <v>46277</v>
      </c>
      <c r="D10" s="14" t="n">
        <v>1005.11</v>
      </c>
      <c r="E10" s="2" t="s">
        <v>307</v>
      </c>
      <c r="F10" s="2" t="str">
        <f aca="false">IF(ISNUMBER(SEARCH("-",B10)),B10,"INV-"&amp;MID(B10,4,20))</f>
        <v>INV-99001</v>
      </c>
    </row>
    <row r="11" customFormat="false" ht="15" hidden="false" customHeight="false" outlineLevel="0" collapsed="false">
      <c r="A11" s="2" t="s">
        <v>319</v>
      </c>
      <c r="B11" s="2" t="s">
        <v>204</v>
      </c>
      <c r="C11" s="15" t="n">
        <v>46260</v>
      </c>
      <c r="D11" s="14" t="n">
        <v>5358.55</v>
      </c>
      <c r="E11" s="2" t="s">
        <v>307</v>
      </c>
      <c r="F11" s="2" t="str">
        <f aca="false">IF(ISNUMBER(SEARCH("-",B11)),B11,"INV-"&amp;MID(B11,4,20))</f>
        <v>INV-10077</v>
      </c>
    </row>
    <row r="12" customFormat="false" ht="15" hidden="false" customHeight="false" outlineLevel="0" collapsed="false">
      <c r="A12" s="2" t="s">
        <v>320</v>
      </c>
      <c r="B12" s="2" t="s">
        <v>254</v>
      </c>
      <c r="C12" s="15" t="n">
        <v>46243</v>
      </c>
      <c r="D12" s="14" t="n">
        <v>2075.32</v>
      </c>
      <c r="E12" s="2" t="s">
        <v>307</v>
      </c>
      <c r="F12" s="2" t="str">
        <f aca="false">IF(ISNUMBER(SEARCH("-",B12)),B12,"INV-"&amp;MID(B12,4,20))</f>
        <v>INV-10159</v>
      </c>
    </row>
    <row r="13" customFormat="false" ht="15" hidden="false" customHeight="false" outlineLevel="0" collapsed="false">
      <c r="A13" s="2" t="s">
        <v>321</v>
      </c>
      <c r="B13" s="2" t="s">
        <v>214</v>
      </c>
      <c r="C13" s="15" t="n">
        <v>46290</v>
      </c>
      <c r="D13" s="14" t="n">
        <v>1821.56</v>
      </c>
      <c r="E13" s="2" t="s">
        <v>307</v>
      </c>
      <c r="F13" s="2" t="str">
        <f aca="false">IF(ISNUMBER(SEARCH("-",B13)),B13,"INV-"&amp;MID(B13,4,20))</f>
        <v>INV-10023</v>
      </c>
    </row>
    <row r="14" customFormat="false" ht="15" hidden="false" customHeight="false" outlineLevel="0" collapsed="false">
      <c r="A14" s="2" t="s">
        <v>322</v>
      </c>
      <c r="B14" s="2" t="s">
        <v>245</v>
      </c>
      <c r="C14" s="15" t="n">
        <v>46250</v>
      </c>
      <c r="D14" s="14" t="n">
        <v>7633.52</v>
      </c>
      <c r="E14" s="2" t="s">
        <v>307</v>
      </c>
      <c r="F14" s="2" t="str">
        <f aca="false">IF(ISNUMBER(SEARCH("-",B14)),B14,"INV-"&amp;MID(B14,4,20))</f>
        <v>INV-10060</v>
      </c>
    </row>
    <row r="15" customFormat="false" ht="15" hidden="false" customHeight="false" outlineLevel="0" collapsed="false">
      <c r="A15" s="2" t="s">
        <v>323</v>
      </c>
      <c r="B15" s="2" t="s">
        <v>222</v>
      </c>
      <c r="C15" s="15" t="n">
        <v>46223</v>
      </c>
      <c r="D15" s="14" t="n">
        <v>2359.27</v>
      </c>
      <c r="E15" s="2" t="s">
        <v>307</v>
      </c>
      <c r="F15" s="2" t="str">
        <f aca="false">IF(ISNUMBER(SEARCH("-",B15)),B15,"INV-"&amp;MID(B15,4,20))</f>
        <v>INV-10131</v>
      </c>
    </row>
    <row r="16" customFormat="false" ht="15" hidden="false" customHeight="false" outlineLevel="0" collapsed="false">
      <c r="A16" s="2" t="s">
        <v>324</v>
      </c>
      <c r="B16" s="2" t="s">
        <v>250</v>
      </c>
      <c r="C16" s="15" t="n">
        <v>46253</v>
      </c>
      <c r="D16" s="14" t="n">
        <v>23401.17</v>
      </c>
      <c r="E16" s="2" t="s">
        <v>307</v>
      </c>
      <c r="F16" s="2" t="str">
        <f aca="false">IF(ISNUMBER(SEARCH("-",B16)),B16,"INV-"&amp;MID(B16,4,20))</f>
        <v>INV-10033</v>
      </c>
    </row>
    <row r="17" customFormat="false" ht="15" hidden="false" customHeight="false" outlineLevel="0" collapsed="false">
      <c r="A17" s="2" t="s">
        <v>325</v>
      </c>
      <c r="B17" s="2" t="s">
        <v>287</v>
      </c>
      <c r="C17" s="15" t="n">
        <v>46232</v>
      </c>
      <c r="D17" s="14" t="n">
        <v>19959.47</v>
      </c>
      <c r="E17" s="2" t="s">
        <v>307</v>
      </c>
      <c r="F17" s="2" t="str">
        <f aca="false">IF(ISNUMBER(SEARCH("-",B17)),B17,"INV-"&amp;MID(B17,4,20))</f>
        <v>INV-10093</v>
      </c>
    </row>
    <row r="18" customFormat="false" ht="15" hidden="false" customHeight="false" outlineLevel="0" collapsed="false">
      <c r="A18" s="2" t="s">
        <v>326</v>
      </c>
      <c r="B18" s="2" t="s">
        <v>327</v>
      </c>
      <c r="C18" s="15" t="n">
        <v>46201</v>
      </c>
      <c r="D18" s="14" t="n">
        <v>6154.17</v>
      </c>
      <c r="E18" s="2" t="s">
        <v>307</v>
      </c>
      <c r="F18" s="2" t="str">
        <f aca="false">IF(ISNUMBER(SEARCH("-",B18)),B18,"INV-"&amp;MID(B18,4,20))</f>
        <v>INV-10113</v>
      </c>
    </row>
    <row r="19" customFormat="false" ht="15" hidden="false" customHeight="false" outlineLevel="0" collapsed="false">
      <c r="A19" s="2" t="s">
        <v>328</v>
      </c>
      <c r="B19" s="2" t="s">
        <v>329</v>
      </c>
      <c r="C19" s="15" t="n">
        <v>46192</v>
      </c>
      <c r="D19" s="14" t="n">
        <v>15991.66</v>
      </c>
      <c r="E19" s="2" t="s">
        <v>307</v>
      </c>
      <c r="F19" s="2" t="str">
        <f aca="false">IF(ISNUMBER(SEARCH("-",B19)),B19,"INV-"&amp;MID(B19,4,20))</f>
        <v>INV-10048</v>
      </c>
    </row>
    <row r="20" customFormat="false" ht="15" hidden="false" customHeight="false" outlineLevel="0" collapsed="false">
      <c r="A20" s="2" t="s">
        <v>330</v>
      </c>
      <c r="B20" s="2" t="s">
        <v>252</v>
      </c>
      <c r="C20" s="15" t="n">
        <v>46079</v>
      </c>
      <c r="D20" s="14" t="n">
        <v>3118.19</v>
      </c>
      <c r="E20" s="2" t="s">
        <v>307</v>
      </c>
      <c r="F20" s="2" t="str">
        <f aca="false">IF(ISNUMBER(SEARCH("-",B20)),B20,"INV-"&amp;MID(B20,4,20))</f>
        <v>INV-10003</v>
      </c>
    </row>
    <row r="21" customFormat="false" ht="15" hidden="false" customHeight="false" outlineLevel="0" collapsed="false">
      <c r="A21" s="2" t="s">
        <v>331</v>
      </c>
      <c r="B21" s="2" t="s">
        <v>276</v>
      </c>
      <c r="C21" s="15" t="n">
        <v>46221</v>
      </c>
      <c r="D21" s="14" t="n">
        <v>8133.02</v>
      </c>
      <c r="E21" s="2" t="s">
        <v>307</v>
      </c>
      <c r="F21" s="2" t="str">
        <f aca="false">IF(ISNUMBER(SEARCH("-",B21)),B21,"INV-"&amp;MID(B21,4,20))</f>
        <v>INV-10127</v>
      </c>
    </row>
    <row r="22" customFormat="false" ht="15" hidden="false" customHeight="false" outlineLevel="0" collapsed="false">
      <c r="A22" s="2" t="s">
        <v>332</v>
      </c>
      <c r="B22" s="2" t="s">
        <v>239</v>
      </c>
      <c r="C22" s="15" t="n">
        <v>46106</v>
      </c>
      <c r="D22" s="14" t="n">
        <v>1485.71</v>
      </c>
      <c r="E22" s="2" t="s">
        <v>307</v>
      </c>
      <c r="F22" s="2" t="str">
        <f aca="false">IF(ISNUMBER(SEARCH("-",B22)),B22,"INV-"&amp;MID(B22,4,20))</f>
        <v>INV-10090</v>
      </c>
    </row>
    <row r="23" customFormat="false" ht="15" hidden="false" customHeight="false" outlineLevel="0" collapsed="false">
      <c r="A23" s="2" t="s">
        <v>333</v>
      </c>
      <c r="B23" s="2" t="s">
        <v>225</v>
      </c>
      <c r="C23" s="15" t="n">
        <v>46169</v>
      </c>
      <c r="D23" s="14" t="n">
        <v>7092.28</v>
      </c>
      <c r="E23" s="2" t="s">
        <v>307</v>
      </c>
      <c r="F23" s="2" t="str">
        <f aca="false">IF(ISNUMBER(SEARCH("-",B23)),B23,"INV-"&amp;MID(B23,4,20))</f>
        <v>INV-10100</v>
      </c>
    </row>
    <row r="24" customFormat="false" ht="15" hidden="false" customHeight="false" outlineLevel="0" collapsed="false">
      <c r="A24" s="2" t="s">
        <v>334</v>
      </c>
      <c r="B24" s="2" t="s">
        <v>210</v>
      </c>
      <c r="C24" s="15" t="n">
        <v>46107</v>
      </c>
      <c r="D24" s="14" t="n">
        <v>19266.29</v>
      </c>
      <c r="E24" s="2" t="s">
        <v>307</v>
      </c>
      <c r="F24" s="2" t="str">
        <f aca="false">IF(ISNUMBER(SEARCH("-",B24)),B24,"INV-"&amp;MID(B24,4,20))</f>
        <v>INV-10025</v>
      </c>
    </row>
    <row r="25" customFormat="false" ht="15" hidden="false" customHeight="false" outlineLevel="0" collapsed="false">
      <c r="A25" s="2" t="s">
        <v>335</v>
      </c>
      <c r="B25" s="2" t="s">
        <v>336</v>
      </c>
      <c r="C25" s="15" t="n">
        <v>46269</v>
      </c>
      <c r="D25" s="14" t="n">
        <v>1140.74</v>
      </c>
      <c r="E25" s="2" t="s">
        <v>307</v>
      </c>
      <c r="F25" s="2" t="str">
        <f aca="false">IF(ISNUMBER(SEARCH("-",B25)),B25,"INV-"&amp;MID(B25,4,20))</f>
        <v>INV-10172</v>
      </c>
    </row>
    <row r="26" customFormat="false" ht="15" hidden="false" customHeight="false" outlineLevel="0" collapsed="false">
      <c r="A26" s="2" t="s">
        <v>337</v>
      </c>
      <c r="B26" s="2" t="s">
        <v>296</v>
      </c>
      <c r="C26" s="15" t="n">
        <v>46163</v>
      </c>
      <c r="D26" s="14" t="n">
        <v>7990.59</v>
      </c>
      <c r="E26" s="2" t="s">
        <v>307</v>
      </c>
      <c r="F26" s="2" t="str">
        <f aca="false">IF(ISNUMBER(SEARCH("-",B26)),B26,"INV-"&amp;MID(B26,4,20))</f>
        <v>INV-10053</v>
      </c>
    </row>
    <row r="27" customFormat="false" ht="15" hidden="false" customHeight="false" outlineLevel="0" collapsed="false">
      <c r="A27" s="2" t="s">
        <v>338</v>
      </c>
      <c r="B27" s="2" t="s">
        <v>339</v>
      </c>
      <c r="C27" s="15" t="n">
        <v>46261</v>
      </c>
      <c r="D27" s="14" t="n">
        <v>7141.08</v>
      </c>
      <c r="E27" s="2" t="s">
        <v>307</v>
      </c>
      <c r="F27" s="2" t="str">
        <f aca="false">IF(ISNUMBER(SEARCH("-",B27)),B27,"INV-"&amp;MID(B27,4,20))</f>
        <v>INV-10015</v>
      </c>
    </row>
    <row r="28" customFormat="false" ht="15" hidden="false" customHeight="false" outlineLevel="0" collapsed="false">
      <c r="A28" s="2" t="s">
        <v>340</v>
      </c>
      <c r="B28" s="2" t="s">
        <v>235</v>
      </c>
      <c r="C28" s="15" t="n">
        <v>46239</v>
      </c>
      <c r="D28" s="14" t="n">
        <v>4777.15</v>
      </c>
      <c r="E28" s="2" t="s">
        <v>307</v>
      </c>
      <c r="F28" s="2" t="str">
        <f aca="false">IF(ISNUMBER(SEARCH("-",B28)),B28,"INV-"&amp;MID(B28,4,20))</f>
        <v>INV-10140</v>
      </c>
    </row>
    <row r="29" customFormat="false" ht="15" hidden="false" customHeight="false" outlineLevel="0" collapsed="false">
      <c r="A29" s="2" t="s">
        <v>341</v>
      </c>
      <c r="B29" s="2" t="s">
        <v>342</v>
      </c>
      <c r="C29" s="15" t="n">
        <v>46154</v>
      </c>
      <c r="D29" s="14" t="n">
        <v>8663.59</v>
      </c>
      <c r="E29" s="2" t="s">
        <v>307</v>
      </c>
      <c r="F29" s="2" t="str">
        <f aca="false">IF(ISNUMBER(SEARCH("-",B29)),B29,"INV-"&amp;MID(B29,4,20))</f>
        <v>INV-10098</v>
      </c>
    </row>
    <row r="30" customFormat="false" ht="15" hidden="false" customHeight="false" outlineLevel="0" collapsed="false">
      <c r="A30" s="2" t="s">
        <v>343</v>
      </c>
      <c r="B30" s="2" t="s">
        <v>344</v>
      </c>
      <c r="C30" s="15" t="n">
        <v>46220</v>
      </c>
      <c r="D30" s="14" t="n">
        <v>2977.91</v>
      </c>
      <c r="E30" s="2" t="s">
        <v>307</v>
      </c>
      <c r="F30" s="2" t="str">
        <f aca="false">IF(ISNUMBER(SEARCH("-",B30)),B30,"INV-"&amp;MID(B30,4,20))</f>
        <v>INV-10134</v>
      </c>
    </row>
    <row r="31" customFormat="false" ht="15" hidden="false" customHeight="false" outlineLevel="0" collapsed="false">
      <c r="A31" s="2" t="s">
        <v>345</v>
      </c>
      <c r="B31" s="2" t="s">
        <v>284</v>
      </c>
      <c r="C31" s="15" t="n">
        <v>46267</v>
      </c>
      <c r="D31" s="14" t="n">
        <v>4044.48</v>
      </c>
      <c r="E31" s="2" t="s">
        <v>307</v>
      </c>
      <c r="F31" s="2" t="str">
        <f aca="false">IF(ISNUMBER(SEARCH("-",B31)),B31,"INV-"&amp;MID(B31,4,20))</f>
        <v>INV-10107</v>
      </c>
    </row>
    <row r="32" customFormat="false" ht="15" hidden="false" customHeight="false" outlineLevel="0" collapsed="false">
      <c r="A32" s="2" t="s">
        <v>346</v>
      </c>
      <c r="B32" s="2" t="s">
        <v>347</v>
      </c>
      <c r="C32" s="15" t="n">
        <v>46208</v>
      </c>
      <c r="D32" s="14" t="n">
        <v>1710.99</v>
      </c>
      <c r="E32" s="2" t="s">
        <v>307</v>
      </c>
      <c r="F32" s="2" t="str">
        <f aca="false">IF(ISNUMBER(SEARCH("-",B32)),B32,"INV-"&amp;MID(B32,4,20))</f>
        <v>INV-10118</v>
      </c>
    </row>
    <row r="33" customFormat="false" ht="15" hidden="false" customHeight="false" outlineLevel="0" collapsed="false">
      <c r="A33" s="2" t="s">
        <v>348</v>
      </c>
      <c r="B33" s="2" t="s">
        <v>244</v>
      </c>
      <c r="C33" s="15" t="n">
        <v>46288</v>
      </c>
      <c r="D33" s="14" t="n">
        <v>1421.4</v>
      </c>
      <c r="E33" s="2" t="s">
        <v>307</v>
      </c>
      <c r="F33" s="2" t="str">
        <f aca="false">IF(ISNUMBER(SEARCH("-",B33)),B33,"INV-"&amp;MID(B33,4,20))</f>
        <v>INV-10171</v>
      </c>
    </row>
    <row r="34" customFormat="false" ht="15" hidden="false" customHeight="false" outlineLevel="0" collapsed="false">
      <c r="A34" s="2" t="s">
        <v>349</v>
      </c>
      <c r="B34" s="2" t="s">
        <v>350</v>
      </c>
      <c r="C34" s="15" t="n">
        <v>46097</v>
      </c>
      <c r="D34" s="14" t="n">
        <v>3928.65</v>
      </c>
      <c r="E34" s="2" t="s">
        <v>307</v>
      </c>
      <c r="F34" s="2" t="str">
        <f aca="false">IF(ISNUMBER(SEARCH("-",B34)),B34,"INV-"&amp;MID(B34,4,20))</f>
        <v>INV-10002</v>
      </c>
    </row>
    <row r="35" customFormat="false" ht="15" hidden="false" customHeight="false" outlineLevel="0" collapsed="false">
      <c r="A35" s="2" t="s">
        <v>351</v>
      </c>
      <c r="B35" s="2" t="s">
        <v>352</v>
      </c>
      <c r="C35" s="15" t="n">
        <v>46270</v>
      </c>
      <c r="D35" s="14" t="n">
        <v>8724.2</v>
      </c>
      <c r="E35" s="2" t="s">
        <v>307</v>
      </c>
      <c r="F35" s="2" t="str">
        <f aca="false">IF(ISNUMBER(SEARCH("-",B35)),B35,"INV-"&amp;MID(B35,4,20))</f>
        <v>INV-10006</v>
      </c>
    </row>
    <row r="36" customFormat="false" ht="15" hidden="false" customHeight="false" outlineLevel="0" collapsed="false">
      <c r="A36" s="2" t="s">
        <v>353</v>
      </c>
      <c r="B36" s="2" t="s">
        <v>283</v>
      </c>
      <c r="C36" s="15" t="n">
        <v>46244</v>
      </c>
      <c r="D36" s="14" t="n">
        <v>5388.91</v>
      </c>
      <c r="E36" s="2" t="s">
        <v>307</v>
      </c>
      <c r="F36" s="2" t="str">
        <f aca="false">IF(ISNUMBER(SEARCH("-",B36)),B36,"INV-"&amp;MID(B36,4,20))</f>
        <v>INV-10018</v>
      </c>
    </row>
    <row r="37" customFormat="false" ht="15" hidden="false" customHeight="false" outlineLevel="0" collapsed="false">
      <c r="A37" s="2" t="s">
        <v>354</v>
      </c>
      <c r="B37" s="2" t="s">
        <v>355</v>
      </c>
      <c r="C37" s="15" t="n">
        <v>46083</v>
      </c>
      <c r="D37" s="14" t="n">
        <v>4018.41</v>
      </c>
      <c r="E37" s="2" t="s">
        <v>307</v>
      </c>
      <c r="F37" s="2" t="str">
        <f aca="false">IF(ISNUMBER(SEARCH("-",B37)),B37,"INV-"&amp;MID(B37,4,20))</f>
        <v>INV-10028</v>
      </c>
    </row>
    <row r="38" customFormat="false" ht="15" hidden="false" customHeight="false" outlineLevel="0" collapsed="false">
      <c r="A38" s="2" t="s">
        <v>356</v>
      </c>
      <c r="B38" s="2" t="s">
        <v>357</v>
      </c>
      <c r="C38" s="15" t="n">
        <v>46277</v>
      </c>
      <c r="D38" s="14" t="n">
        <v>1012.44</v>
      </c>
      <c r="E38" s="2" t="s">
        <v>307</v>
      </c>
      <c r="F38" s="2" t="str">
        <f aca="false">IF(ISNUMBER(SEARCH("-",B38)),B38,"INV-"&amp;MID(B38,4,20))</f>
        <v>INV-99017</v>
      </c>
    </row>
    <row r="39" customFormat="false" ht="15" hidden="false" customHeight="false" outlineLevel="0" collapsed="false">
      <c r="A39" s="2" t="s">
        <v>358</v>
      </c>
      <c r="B39" s="2" t="s">
        <v>277</v>
      </c>
      <c r="C39" s="15" t="n">
        <v>46143</v>
      </c>
      <c r="D39" s="14" t="n">
        <v>12724.21</v>
      </c>
      <c r="E39" s="2" t="s">
        <v>307</v>
      </c>
      <c r="F39" s="2" t="str">
        <f aca="false">IF(ISNUMBER(SEARCH("-",B39)),B39,"INV-"&amp;MID(B39,4,20))</f>
        <v>INV-10038</v>
      </c>
    </row>
    <row r="40" customFormat="false" ht="15" hidden="false" customHeight="false" outlineLevel="0" collapsed="false">
      <c r="A40" s="2" t="s">
        <v>359</v>
      </c>
      <c r="B40" s="2" t="s">
        <v>248</v>
      </c>
      <c r="C40" s="15" t="n">
        <v>46245</v>
      </c>
      <c r="D40" s="14" t="n">
        <v>2941.4</v>
      </c>
      <c r="E40" s="2" t="s">
        <v>307</v>
      </c>
      <c r="F40" s="2" t="str">
        <f aca="false">IF(ISNUMBER(SEARCH("-",B40)),B40,"INV-"&amp;MID(B40,4,20))</f>
        <v>INV-10064</v>
      </c>
    </row>
    <row r="41" customFormat="false" ht="15" hidden="false" customHeight="false" outlineLevel="0" collapsed="false">
      <c r="A41" s="2" t="s">
        <v>360</v>
      </c>
      <c r="B41" s="2" t="s">
        <v>205</v>
      </c>
      <c r="C41" s="15" t="n">
        <v>46189</v>
      </c>
      <c r="D41" s="14" t="n">
        <v>6800.09</v>
      </c>
      <c r="E41" s="2" t="s">
        <v>307</v>
      </c>
      <c r="F41" s="2" t="str">
        <f aca="false">IF(ISNUMBER(SEARCH("-",B41)),B41,"INV-"&amp;MID(B41,4,20))</f>
        <v>INV-10056</v>
      </c>
    </row>
    <row r="42" customFormat="false" ht="15" hidden="false" customHeight="false" outlineLevel="0" collapsed="false">
      <c r="A42" s="2" t="s">
        <v>361</v>
      </c>
      <c r="B42" s="2" t="s">
        <v>362</v>
      </c>
      <c r="C42" s="15" t="n">
        <v>46116</v>
      </c>
      <c r="D42" s="14" t="n">
        <v>12623.41</v>
      </c>
      <c r="E42" s="2" t="s">
        <v>307</v>
      </c>
      <c r="F42" s="2" t="str">
        <f aca="false">IF(ISNUMBER(SEARCH("-",B42)),B42,"INV-"&amp;MID(B42,4,20))</f>
        <v>INV-10112</v>
      </c>
    </row>
    <row r="43" customFormat="false" ht="15" hidden="false" customHeight="false" outlineLevel="0" collapsed="false">
      <c r="A43" s="2" t="s">
        <v>363</v>
      </c>
      <c r="B43" s="2" t="s">
        <v>364</v>
      </c>
      <c r="C43" s="15" t="n">
        <v>46256</v>
      </c>
      <c r="D43" s="14" t="n">
        <v>2485.13</v>
      </c>
      <c r="E43" s="2" t="s">
        <v>307</v>
      </c>
      <c r="F43" s="2" t="str">
        <f aca="false">IF(ISNUMBER(SEARCH("-",B43)),B43,"INV-"&amp;MID(B43,4,20))</f>
        <v>INV-10158</v>
      </c>
    </row>
    <row r="44" customFormat="false" ht="15" hidden="false" customHeight="false" outlineLevel="0" collapsed="false">
      <c r="A44" s="2" t="s">
        <v>365</v>
      </c>
      <c r="B44" s="2" t="s">
        <v>288</v>
      </c>
      <c r="C44" s="15" t="n">
        <v>46061</v>
      </c>
      <c r="D44" s="14" t="n">
        <v>7042.61</v>
      </c>
      <c r="E44" s="2" t="s">
        <v>307</v>
      </c>
      <c r="F44" s="2" t="str">
        <f aca="false">IF(ISNUMBER(SEARCH("-",B44)),B44,"INV-"&amp;MID(B44,4,20))</f>
        <v>INV-10155</v>
      </c>
    </row>
    <row r="45" customFormat="false" ht="15" hidden="false" customHeight="false" outlineLevel="0" collapsed="false">
      <c r="A45" s="2" t="s">
        <v>366</v>
      </c>
      <c r="B45" s="2" t="s">
        <v>367</v>
      </c>
      <c r="C45" s="15" t="n">
        <v>46243</v>
      </c>
      <c r="D45" s="14" t="n">
        <v>7989.78</v>
      </c>
      <c r="E45" s="2" t="s">
        <v>307</v>
      </c>
      <c r="F45" s="2" t="str">
        <f aca="false">IF(ISNUMBER(SEARCH("-",B45)),B45,"INV-"&amp;MID(B45,4,20))</f>
        <v>INV-10079</v>
      </c>
    </row>
    <row r="46" customFormat="false" ht="15" hidden="false" customHeight="false" outlineLevel="0" collapsed="false">
      <c r="A46" s="2" t="s">
        <v>368</v>
      </c>
      <c r="B46" s="2" t="s">
        <v>369</v>
      </c>
      <c r="C46" s="15" t="n">
        <v>46245</v>
      </c>
      <c r="D46" s="14" t="n">
        <v>10058.97</v>
      </c>
      <c r="E46" s="2" t="s">
        <v>307</v>
      </c>
      <c r="F46" s="2" t="str">
        <f aca="false">IF(ISNUMBER(SEARCH("-",B46)),B46,"INV-"&amp;MID(B46,4,20))</f>
        <v>INV-10057</v>
      </c>
    </row>
    <row r="47" customFormat="false" ht="15" hidden="false" customHeight="false" outlineLevel="0" collapsed="false">
      <c r="A47" s="2" t="s">
        <v>370</v>
      </c>
      <c r="B47" s="2" t="s">
        <v>274</v>
      </c>
      <c r="C47" s="15" t="n">
        <v>46127</v>
      </c>
      <c r="D47" s="14" t="n">
        <v>9965.59</v>
      </c>
      <c r="E47" s="2" t="s">
        <v>307</v>
      </c>
      <c r="F47" s="2" t="str">
        <f aca="false">IF(ISNUMBER(SEARCH("-",B47)),B47,"INV-"&amp;MID(B47,4,20))</f>
        <v>INV-10147</v>
      </c>
    </row>
    <row r="48" customFormat="false" ht="15" hidden="false" customHeight="false" outlineLevel="0" collapsed="false">
      <c r="A48" s="2" t="s">
        <v>371</v>
      </c>
      <c r="B48" s="2" t="s">
        <v>223</v>
      </c>
      <c r="C48" s="15" t="n">
        <v>46078</v>
      </c>
      <c r="D48" s="14" t="n">
        <v>3212.32</v>
      </c>
      <c r="E48" s="2" t="s">
        <v>307</v>
      </c>
      <c r="F48" s="2" t="str">
        <f aca="false">IF(ISNUMBER(SEARCH("-",B48)),B48,"INV-"&amp;MID(B48,4,20))</f>
        <v>INV-10013</v>
      </c>
    </row>
    <row r="49" customFormat="false" ht="15" hidden="false" customHeight="false" outlineLevel="0" collapsed="false">
      <c r="A49" s="2" t="s">
        <v>372</v>
      </c>
      <c r="B49" s="2" t="s">
        <v>238</v>
      </c>
      <c r="C49" s="15" t="n">
        <v>46276</v>
      </c>
      <c r="D49" s="14" t="n">
        <v>13841.27</v>
      </c>
      <c r="E49" s="2" t="s">
        <v>307</v>
      </c>
      <c r="F49" s="2" t="str">
        <f aca="false">IF(ISNUMBER(SEARCH("-",B49)),B49,"INV-"&amp;MID(B49,4,20))</f>
        <v>INV-10096</v>
      </c>
    </row>
    <row r="50" customFormat="false" ht="15" hidden="false" customHeight="false" outlineLevel="0" collapsed="false">
      <c r="A50" s="2" t="s">
        <v>373</v>
      </c>
      <c r="B50" s="2" t="s">
        <v>218</v>
      </c>
      <c r="C50" s="15" t="n">
        <v>46285</v>
      </c>
      <c r="D50" s="14" t="n">
        <v>7330.49</v>
      </c>
      <c r="E50" s="2" t="s">
        <v>307</v>
      </c>
      <c r="F50" s="2" t="str">
        <f aca="false">IF(ISNUMBER(SEARCH("-",B50)),B50,"INV-"&amp;MID(B50,4,20))</f>
        <v>INV-10170</v>
      </c>
    </row>
    <row r="51" customFormat="false" ht="15" hidden="false" customHeight="false" outlineLevel="0" collapsed="false">
      <c r="A51" s="2" t="s">
        <v>374</v>
      </c>
      <c r="B51" s="2" t="s">
        <v>259</v>
      </c>
      <c r="C51" s="15" t="n">
        <v>46157</v>
      </c>
      <c r="D51" s="14" t="n">
        <v>5811.23</v>
      </c>
      <c r="E51" s="2" t="s">
        <v>307</v>
      </c>
      <c r="F51" s="2" t="str">
        <f aca="false">IF(ISNUMBER(SEARCH("-",B51)),B51,"INV-"&amp;MID(B51,4,20))</f>
        <v>INV-10185</v>
      </c>
    </row>
    <row r="52" customFormat="false" ht="15" hidden="false" customHeight="false" outlineLevel="0" collapsed="false">
      <c r="A52" s="2" t="s">
        <v>375</v>
      </c>
      <c r="B52" s="2" t="s">
        <v>376</v>
      </c>
      <c r="C52" s="15" t="n">
        <v>46294</v>
      </c>
      <c r="D52" s="14" t="n">
        <v>2236.95</v>
      </c>
      <c r="E52" s="2" t="s">
        <v>307</v>
      </c>
      <c r="F52" s="2" t="str">
        <f aca="false">IF(ISNUMBER(SEARCH("-",B52)),B52,"INV-"&amp;MID(B52,4,20))</f>
        <v>INV-10021</v>
      </c>
    </row>
    <row r="53" customFormat="false" ht="15" hidden="false" customHeight="false" outlineLevel="0" collapsed="false">
      <c r="A53" s="2" t="s">
        <v>377</v>
      </c>
      <c r="B53" s="2" t="s">
        <v>378</v>
      </c>
      <c r="C53" s="15" t="n">
        <v>46244</v>
      </c>
      <c r="D53" s="14" t="n">
        <v>11667.25</v>
      </c>
      <c r="E53" s="2" t="s">
        <v>307</v>
      </c>
      <c r="F53" s="2" t="str">
        <f aca="false">IF(ISNUMBER(SEARCH("-",B53)),B53,"INV-"&amp;MID(B53,4,20))</f>
        <v>INV-10129</v>
      </c>
    </row>
    <row r="54" customFormat="false" ht="15" hidden="false" customHeight="false" outlineLevel="0" collapsed="false">
      <c r="A54" s="2" t="s">
        <v>379</v>
      </c>
      <c r="B54" s="2" t="s">
        <v>380</v>
      </c>
      <c r="C54" s="15" t="n">
        <v>46184</v>
      </c>
      <c r="D54" s="14" t="n">
        <v>3242.21</v>
      </c>
      <c r="E54" s="2" t="s">
        <v>307</v>
      </c>
      <c r="F54" s="2" t="str">
        <f aca="false">IF(ISNUMBER(SEARCH("-",B54)),B54,"INV-"&amp;MID(B54,4,20))</f>
        <v>INV-10110</v>
      </c>
    </row>
    <row r="55" customFormat="false" ht="15" hidden="false" customHeight="false" outlineLevel="0" collapsed="false">
      <c r="A55" s="2" t="s">
        <v>381</v>
      </c>
      <c r="B55" s="2" t="s">
        <v>382</v>
      </c>
      <c r="C55" s="15" t="n">
        <v>46178</v>
      </c>
      <c r="D55" s="14" t="n">
        <v>1100.21</v>
      </c>
      <c r="E55" s="2" t="s">
        <v>307</v>
      </c>
      <c r="F55" s="2" t="str">
        <f aca="false">IF(ISNUMBER(SEARCH("-",B55)),B55,"INV-"&amp;MID(B55,4,20))</f>
        <v>INV-10061</v>
      </c>
    </row>
    <row r="56" customFormat="false" ht="15" hidden="false" customHeight="false" outlineLevel="0" collapsed="false">
      <c r="A56" s="2" t="s">
        <v>383</v>
      </c>
      <c r="B56" s="2" t="s">
        <v>384</v>
      </c>
      <c r="C56" s="15" t="n">
        <v>46144</v>
      </c>
      <c r="D56" s="14" t="n">
        <v>18317.75</v>
      </c>
      <c r="E56" s="2" t="s">
        <v>307</v>
      </c>
      <c r="F56" s="2" t="str">
        <f aca="false">IF(ISNUMBER(SEARCH("-",B56)),B56,"INV-"&amp;MID(B56,4,20))</f>
        <v>INV-10074</v>
      </c>
    </row>
    <row r="57" customFormat="false" ht="15" hidden="false" customHeight="false" outlineLevel="0" collapsed="false">
      <c r="A57" s="2" t="s">
        <v>385</v>
      </c>
      <c r="B57" s="2" t="s">
        <v>294</v>
      </c>
      <c r="C57" s="15" t="n">
        <v>46284</v>
      </c>
      <c r="D57" s="14" t="n">
        <v>2432.75</v>
      </c>
      <c r="E57" s="2" t="s">
        <v>307</v>
      </c>
      <c r="F57" s="2" t="str">
        <f aca="false">IF(ISNUMBER(SEARCH("-",B57)),B57,"INV-"&amp;MID(B57,4,20))</f>
        <v>INV-10178</v>
      </c>
    </row>
    <row r="58" customFormat="false" ht="15" hidden="false" customHeight="false" outlineLevel="0" collapsed="false">
      <c r="A58" s="2" t="s">
        <v>386</v>
      </c>
      <c r="B58" s="2" t="s">
        <v>291</v>
      </c>
      <c r="C58" s="15" t="n">
        <v>46146</v>
      </c>
      <c r="D58" s="14" t="n">
        <v>3261.44</v>
      </c>
      <c r="E58" s="2" t="s">
        <v>307</v>
      </c>
      <c r="F58" s="2" t="str">
        <f aca="false">IF(ISNUMBER(SEARCH("-",B58)),B58,"INV-"&amp;MID(B58,4,20))</f>
        <v>INV-10031</v>
      </c>
    </row>
    <row r="59" customFormat="false" ht="15" hidden="false" customHeight="false" outlineLevel="0" collapsed="false">
      <c r="A59" s="2" t="s">
        <v>387</v>
      </c>
      <c r="B59" s="2" t="s">
        <v>264</v>
      </c>
      <c r="C59" s="15" t="n">
        <v>46144</v>
      </c>
      <c r="D59" s="14" t="n">
        <v>4811.71</v>
      </c>
      <c r="E59" s="2" t="s">
        <v>307</v>
      </c>
      <c r="F59" s="2" t="str">
        <f aca="false">IF(ISNUMBER(SEARCH("-",B59)),B59,"INV-"&amp;MID(B59,4,20))</f>
        <v>INV-10186</v>
      </c>
    </row>
    <row r="60" customFormat="false" ht="15" hidden="false" customHeight="false" outlineLevel="0" collapsed="false">
      <c r="A60" s="2" t="s">
        <v>388</v>
      </c>
      <c r="B60" s="2" t="s">
        <v>389</v>
      </c>
      <c r="C60" s="15" t="n">
        <v>46258</v>
      </c>
      <c r="D60" s="14" t="n">
        <v>4395.62</v>
      </c>
      <c r="E60" s="2" t="s">
        <v>307</v>
      </c>
      <c r="F60" s="2" t="str">
        <f aca="false">IF(ISNUMBER(SEARCH("-",B60)),B60,"INV-"&amp;MID(B60,4,20))</f>
        <v>INV-10019</v>
      </c>
    </row>
    <row r="61" customFormat="false" ht="15" hidden="false" customHeight="false" outlineLevel="0" collapsed="false">
      <c r="A61" s="2" t="s">
        <v>390</v>
      </c>
      <c r="B61" s="2" t="s">
        <v>391</v>
      </c>
      <c r="C61" s="15" t="n">
        <v>46225</v>
      </c>
      <c r="D61" s="14" t="n">
        <v>2329.09</v>
      </c>
      <c r="E61" s="2" t="s">
        <v>307</v>
      </c>
      <c r="F61" s="2" t="str">
        <f aca="false">IF(ISNUMBER(SEARCH("-",B61)),B61,"INV-"&amp;MID(B61,4,20))</f>
        <v>INV-10137</v>
      </c>
    </row>
    <row r="62" customFormat="false" ht="15" hidden="false" customHeight="false" outlineLevel="0" collapsed="false">
      <c r="A62" s="2" t="s">
        <v>392</v>
      </c>
      <c r="B62" s="2" t="s">
        <v>393</v>
      </c>
      <c r="C62" s="15" t="n">
        <v>46222</v>
      </c>
      <c r="D62" s="14" t="n">
        <v>10187.43</v>
      </c>
      <c r="E62" s="2" t="s">
        <v>307</v>
      </c>
      <c r="F62" s="2" t="str">
        <f aca="false">IF(ISNUMBER(SEARCH("-",B62)),B62,"INV-"&amp;MID(B62,4,20))</f>
        <v>INV-10124</v>
      </c>
    </row>
    <row r="63" customFormat="false" ht="15" hidden="false" customHeight="false" outlineLevel="0" collapsed="false">
      <c r="A63" s="2" t="s">
        <v>394</v>
      </c>
      <c r="B63" s="2" t="s">
        <v>228</v>
      </c>
      <c r="C63" s="15" t="n">
        <v>46225</v>
      </c>
      <c r="D63" s="14" t="n">
        <v>13381.6</v>
      </c>
      <c r="E63" s="2" t="s">
        <v>307</v>
      </c>
      <c r="F63" s="2" t="str">
        <f aca="false">IF(ISNUMBER(SEARCH("-",B63)),B63,"INV-"&amp;MID(B63,4,20))</f>
        <v>INV-10122</v>
      </c>
    </row>
    <row r="64" customFormat="false" ht="15" hidden="false" customHeight="false" outlineLevel="0" collapsed="false">
      <c r="A64" s="2" t="s">
        <v>395</v>
      </c>
      <c r="B64" s="2" t="s">
        <v>292</v>
      </c>
      <c r="C64" s="15" t="n">
        <v>46209</v>
      </c>
      <c r="D64" s="14" t="n">
        <v>1477.7</v>
      </c>
      <c r="E64" s="2" t="s">
        <v>307</v>
      </c>
      <c r="F64" s="2" t="str">
        <f aca="false">IF(ISNUMBER(SEARCH("-",B64)),B64,"INV-"&amp;MID(B64,4,20))</f>
        <v>INV-10119</v>
      </c>
    </row>
    <row r="65" customFormat="false" ht="15" hidden="false" customHeight="false" outlineLevel="0" collapsed="false">
      <c r="A65" s="2" t="s">
        <v>396</v>
      </c>
      <c r="B65" s="2" t="s">
        <v>397</v>
      </c>
      <c r="C65" s="15" t="n">
        <v>46109</v>
      </c>
      <c r="D65" s="14" t="n">
        <v>17092.64</v>
      </c>
      <c r="E65" s="2" t="s">
        <v>307</v>
      </c>
      <c r="F65" s="2" t="str">
        <f aca="false">IF(ISNUMBER(SEARCH("-",B65)),B65,"INV-"&amp;MID(B65,4,20))</f>
        <v>INV-10188</v>
      </c>
    </row>
    <row r="66" customFormat="false" ht="15" hidden="false" customHeight="false" outlineLevel="0" collapsed="false">
      <c r="A66" s="2" t="s">
        <v>398</v>
      </c>
      <c r="B66" s="2" t="s">
        <v>399</v>
      </c>
      <c r="C66" s="15" t="n">
        <v>46217</v>
      </c>
      <c r="D66" s="14" t="n">
        <v>9012.91</v>
      </c>
      <c r="E66" s="2" t="s">
        <v>307</v>
      </c>
      <c r="F66" s="2" t="str">
        <f aca="false">IF(ISNUMBER(SEARCH("-",B66)),B66,"INV-"&amp;MID(B66,4,20))</f>
        <v>INV-10041</v>
      </c>
    </row>
    <row r="67" customFormat="false" ht="15" hidden="false" customHeight="false" outlineLevel="0" collapsed="false">
      <c r="A67" s="2" t="s">
        <v>400</v>
      </c>
      <c r="B67" s="2" t="s">
        <v>285</v>
      </c>
      <c r="C67" s="15" t="n">
        <v>46123</v>
      </c>
      <c r="D67" s="14" t="n">
        <v>2573.62</v>
      </c>
      <c r="E67" s="2" t="s">
        <v>307</v>
      </c>
      <c r="F67" s="2" t="str">
        <f aca="false">IF(ISNUMBER(SEARCH("-",B67)),B67,"INV-"&amp;MID(B67,4,20))</f>
        <v>INV-10084</v>
      </c>
    </row>
    <row r="68" customFormat="false" ht="15" hidden="false" customHeight="false" outlineLevel="0" collapsed="false">
      <c r="A68" s="2" t="s">
        <v>401</v>
      </c>
      <c r="B68" s="2" t="s">
        <v>201</v>
      </c>
      <c r="C68" s="15" t="n">
        <v>46152</v>
      </c>
      <c r="D68" s="14" t="n">
        <v>2681.34</v>
      </c>
      <c r="E68" s="2" t="s">
        <v>307</v>
      </c>
      <c r="F68" s="2" t="str">
        <f aca="false">IF(ISNUMBER(SEARCH("-",B68)),B68,"INV-"&amp;MID(B68,4,20))</f>
        <v>INV-10032</v>
      </c>
    </row>
    <row r="69" customFormat="false" ht="15" hidden="false" customHeight="false" outlineLevel="0" collapsed="false">
      <c r="A69" s="2" t="s">
        <v>402</v>
      </c>
      <c r="B69" s="2" t="s">
        <v>236</v>
      </c>
      <c r="C69" s="15" t="n">
        <v>46230</v>
      </c>
      <c r="D69" s="14" t="n">
        <v>3731.7</v>
      </c>
      <c r="E69" s="2" t="s">
        <v>307</v>
      </c>
      <c r="F69" s="2" t="str">
        <f aca="false">IF(ISNUMBER(SEARCH("-",B69)),B69,"INV-"&amp;MID(B69,4,20))</f>
        <v>INV-10043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10" min="9" style="0" width="12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5" min="14" style="0" width="21"/>
    <col collapsed="false" customWidth="true" hidden="false" outlineLevel="0" max="16" min="16" style="0" width="17"/>
    <col collapsed="false" customWidth="true" hidden="false" outlineLevel="0" max="17" min="17" style="0" width="19"/>
    <col collapsed="false" customWidth="true" hidden="false" outlineLevel="0" max="18" min="18" style="0" width="25"/>
    <col collapsed="false" customWidth="true" hidden="false" outlineLevel="0" max="19" min="19" style="0" width="14"/>
    <col collapsed="false" customWidth="true" hidden="false" outlineLevel="0" max="20" min="20" style="0" width="21"/>
    <col collapsed="false" customWidth="true" hidden="false" outlineLevel="0" max="21" min="21" style="0" width="15"/>
    <col collapsed="false" customWidth="true" hidden="false" outlineLevel="0" max="22" min="22" style="0" width="22"/>
    <col collapsed="false" customWidth="true" hidden="false" outlineLevel="0" max="23" min="23" style="0" width="13"/>
    <col collapsed="false" customWidth="true" hidden="false" outlineLevel="0" max="24" min="24" style="0" width="23"/>
    <col collapsed="false" customWidth="true" hidden="false" outlineLevel="0" max="25" min="25" style="0" width="21"/>
    <col collapsed="false" customWidth="true" hidden="false" outlineLevel="0" max="26" min="26" style="0" width="13"/>
  </cols>
  <sheetData>
    <row r="1" customFormat="false" ht="26.85" hidden="false" customHeight="false" outlineLevel="0" collapsed="false">
      <c r="A1" s="9" t="s">
        <v>187</v>
      </c>
      <c r="B1" s="9" t="s">
        <v>188</v>
      </c>
      <c r="C1" s="9" t="s">
        <v>33</v>
      </c>
      <c r="D1" s="9" t="s">
        <v>403</v>
      </c>
      <c r="E1" s="9" t="s">
        <v>104</v>
      </c>
      <c r="F1" s="9" t="s">
        <v>404</v>
      </c>
      <c r="G1" s="9" t="s">
        <v>405</v>
      </c>
      <c r="H1" s="9" t="s">
        <v>189</v>
      </c>
      <c r="I1" s="9" t="s">
        <v>190</v>
      </c>
      <c r="J1" s="9" t="s">
        <v>191</v>
      </c>
      <c r="K1" s="9" t="s">
        <v>192</v>
      </c>
      <c r="L1" s="9" t="s">
        <v>406</v>
      </c>
      <c r="M1" s="9" t="s">
        <v>407</v>
      </c>
      <c r="N1" s="9" t="s">
        <v>408</v>
      </c>
      <c r="O1" s="9" t="s">
        <v>409</v>
      </c>
      <c r="P1" s="9" t="s">
        <v>410</v>
      </c>
      <c r="Q1" s="9" t="s">
        <v>411</v>
      </c>
      <c r="R1" s="9" t="s">
        <v>412</v>
      </c>
      <c r="S1" s="9" t="s">
        <v>413</v>
      </c>
      <c r="T1" s="9" t="s">
        <v>414</v>
      </c>
      <c r="U1" s="9" t="s">
        <v>415</v>
      </c>
      <c r="V1" s="9" t="s">
        <v>416</v>
      </c>
      <c r="W1" s="9" t="s">
        <v>302</v>
      </c>
      <c r="X1" s="9" t="s">
        <v>417</v>
      </c>
      <c r="Y1" s="9" t="s">
        <v>418</v>
      </c>
      <c r="Z1" s="9" t="s">
        <v>419</v>
      </c>
    </row>
    <row r="2" customFormat="false" ht="15" hidden="false" customHeight="false" outlineLevel="0" collapsed="false">
      <c r="A2" s="2" t="str">
        <f aca="false">Invoices!A2</f>
        <v>INV-10041</v>
      </c>
      <c r="B2" s="2" t="str">
        <f aca="false">Invoices!B2</f>
        <v>Maple Mailing</v>
      </c>
      <c r="C2" s="2" t="str">
        <f aca="false">IFERROR(INDEX(Vendor_Aliases!$B$2:$B$25,MATCH(UPPER(TRIM(B2)),Vendor_Aliases!$A$2:$A$25,0)),"UNKNOWN")</f>
        <v>V002</v>
      </c>
      <c r="D2" s="2" t="str">
        <f aca="false">IFERROR(INDEX(Vendors!$E$2:$E$11,MATCH(C2,Vendors!$A$2:$A$11,0)),"")</f>
        <v>Active</v>
      </c>
      <c r="E2" s="2" t="str">
        <f aca="false">IF(Invoices!C2="","",Invoices!C2)</f>
        <v>PO-4527</v>
      </c>
      <c r="F2" s="2" t="str">
        <f aca="false">IF(E2="","",IFERROR(INDEX(POs!$B$2:$B$61,MATCH(E2,POs!$A$2:$A$61,0)),"NOT FOUND"))</f>
        <v>V002</v>
      </c>
      <c r="G2" s="14" t="n">
        <f aca="false">IF(E2="","",IFERROR(INDEX(POs!$E$2:$E$61,MATCH(E2,POs!$A$2:$A$61,0)),""))</f>
        <v>18750</v>
      </c>
      <c r="H2" s="15" t="n">
        <f aca="false">Invoices!D2</f>
        <v>46183</v>
      </c>
      <c r="I2" s="14" t="n">
        <f aca="false">Invoices!E2</f>
        <v>7976.03</v>
      </c>
      <c r="J2" s="14" t="n">
        <f aca="false">Invoices!F2</f>
        <v>1036.88</v>
      </c>
      <c r="K2" s="14" t="n">
        <f aca="false">Invoices!G2</f>
        <v>9012.91</v>
      </c>
      <c r="L2" s="15" t="n">
        <f aca="false">IFERROR(H2+INDEX(Vendors!$H$2:$H$11,MATCH(C2,Vendors!$A$2:$A$11,0)),H2+30)</f>
        <v>46213</v>
      </c>
      <c r="M2" s="16" t="n">
        <f aca="false">IF(COUNTIF($A$2:A2,A2)&gt;1,1,0)</f>
        <v>0</v>
      </c>
      <c r="N2" s="14" t="n">
        <f aca="false">IF(E2="","",SUMIFS($I$2:$I$97,$E$2:$E$97,E2,$M$2:$M$97,0))</f>
        <v>14580.81</v>
      </c>
      <c r="O2" s="16" t="n">
        <f aca="false">IF(C2="UNKNOWN",1,0)</f>
        <v>0</v>
      </c>
      <c r="P2" s="16" t="n">
        <f aca="false">IF(E2="",1,0)</f>
        <v>0</v>
      </c>
      <c r="Q2" s="16" t="n">
        <f aca="false">IF(F2="NOT FOUND",1,0)</f>
        <v>0</v>
      </c>
      <c r="R2" s="16" t="n">
        <f aca="false">IF(AND(F2&lt;&gt;"",F2&lt;&gt;"NOT FOUND",F2&lt;&gt;C2),1,0)</f>
        <v>0</v>
      </c>
      <c r="S2" s="16" t="n">
        <f aca="false">IF(AND(M2=0,ISNUMBER(G2),N2&gt;G2),1,0)</f>
        <v>0</v>
      </c>
      <c r="T2" s="16" t="n">
        <f aca="false">IF(ABS(I2+J2-K2)&gt;0.01,1,0)</f>
        <v>0</v>
      </c>
      <c r="U2" s="16" t="n">
        <f aca="false">IFERROR(IF(ABS(J2-ROUND(I2*INDEX(Vendors!$G$2:$G$11,MATCH(C2,Vendors!$A$2:$A$11,0)),2))&gt;0.01,1,0),0)</f>
        <v>0</v>
      </c>
      <c r="V2" s="16" t="n">
        <f aca="false">IF(D2="Inactive",1,0)</f>
        <v>0</v>
      </c>
      <c r="W2" s="14" t="n">
        <f aca="false">SUMIFS(Payments!$D$2:$D$69,Payments!$F$2:$F$69,A2)</f>
        <v>9012.91</v>
      </c>
      <c r="X2" s="16" t="n">
        <f aca="false">IF(AND(M2=0,W2&gt;0,ABS(W2-K2)&gt;0.01),1,0)</f>
        <v>0</v>
      </c>
      <c r="Y2" s="16" t="n">
        <f aca="false">IF(AND(M2=0,W2=0,L2&lt;About!$B$3),1,0)</f>
        <v>0</v>
      </c>
      <c r="Z2" s="16" t="n">
        <f aca="false">M2+SUM(O2:V2)+X2+Y2</f>
        <v>0</v>
      </c>
    </row>
    <row r="3" customFormat="false" ht="15" hidden="false" customHeight="false" outlineLevel="0" collapsed="false">
      <c r="A3" s="2" t="str">
        <f aca="false">Invoices!A3</f>
        <v>INV-10175</v>
      </c>
      <c r="B3" s="2" t="str">
        <f aca="false">Invoices!B3</f>
        <v>Cedarline Paper</v>
      </c>
      <c r="C3" s="2" t="str">
        <f aca="false">IFERROR(INDEX(Vendor_Aliases!$B$2:$B$25,MATCH(UPPER(TRIM(B3)),Vendor_Aliases!$A$2:$A$25,0)),"UNKNOWN")</f>
        <v>V006</v>
      </c>
      <c r="D3" s="2" t="str">
        <f aca="false">IFERROR(INDEX(Vendors!$E$2:$E$11,MATCH(C3,Vendors!$A$2:$A$11,0)),"")</f>
        <v>Active</v>
      </c>
      <c r="E3" s="2" t="str">
        <f aca="false">IF(Invoices!C3="","",Invoices!C3)</f>
        <v>PO-4629</v>
      </c>
      <c r="F3" s="2" t="str">
        <f aca="false">IF(E3="","",IFERROR(INDEX(POs!$B$2:$B$61,MATCH(E3,POs!$A$2:$A$61,0)),"NOT FOUND"))</f>
        <v>V006</v>
      </c>
      <c r="G3" s="14" t="n">
        <f aca="false">IF(E3="","",IFERROR(INDEX(POs!$E$2:$E$61,MATCH(E3,POs!$A$2:$A$61,0)),""))</f>
        <v>6050</v>
      </c>
      <c r="H3" s="15" t="n">
        <f aca="false">Invoices!D3</f>
        <v>46270</v>
      </c>
      <c r="I3" s="14" t="n">
        <f aca="false">Invoices!E3</f>
        <v>2776.31</v>
      </c>
      <c r="J3" s="14" t="n">
        <f aca="false">Invoices!F3</f>
        <v>360.92</v>
      </c>
      <c r="K3" s="14" t="n">
        <f aca="false">Invoices!G3</f>
        <v>3137.23</v>
      </c>
      <c r="L3" s="15" t="n">
        <f aca="false">IFERROR(H3+INDEX(Vendors!$H$2:$H$11,MATCH(C3,Vendors!$A$2:$A$11,0)),H3+30)</f>
        <v>46315</v>
      </c>
      <c r="M3" s="16" t="n">
        <f aca="false">IF(COUNTIF($A$2:A3,A3)&gt;1,1,0)</f>
        <v>0</v>
      </c>
      <c r="N3" s="14" t="n">
        <f aca="false">IF(E3="","",SUMIFS($I$2:$I$97,$E$2:$E$97,E3,$M$2:$M$97,0))</f>
        <v>4929.19</v>
      </c>
      <c r="O3" s="16" t="n">
        <f aca="false">IF(C3="UNKNOWN",1,0)</f>
        <v>0</v>
      </c>
      <c r="P3" s="16" t="n">
        <f aca="false">IF(E3="",1,0)</f>
        <v>0</v>
      </c>
      <c r="Q3" s="16" t="n">
        <f aca="false">IF(F3="NOT FOUND",1,0)</f>
        <v>0</v>
      </c>
      <c r="R3" s="16" t="n">
        <f aca="false">IF(AND(F3&lt;&gt;"",F3&lt;&gt;"NOT FOUND",F3&lt;&gt;C3),1,0)</f>
        <v>0</v>
      </c>
      <c r="S3" s="16" t="n">
        <f aca="false">IF(AND(M3=0,ISNUMBER(G3),N3&gt;G3),1,0)</f>
        <v>0</v>
      </c>
      <c r="T3" s="16" t="n">
        <f aca="false">IF(ABS(I3+J3-K3)&gt;0.01,1,0)</f>
        <v>0</v>
      </c>
      <c r="U3" s="16" t="n">
        <f aca="false">IFERROR(IF(ABS(J3-ROUND(I3*INDEX(Vendors!$G$2:$G$11,MATCH(C3,Vendors!$A$2:$A$11,0)),2))&gt;0.01,1,0),0)</f>
        <v>0</v>
      </c>
      <c r="V3" s="16" t="n">
        <f aca="false">IF(D3="Inactive",1,0)</f>
        <v>0</v>
      </c>
      <c r="W3" s="14" t="n">
        <f aca="false">SUMIFS(Payments!$D$2:$D$69,Payments!$F$2:$F$69,A3)</f>
        <v>0</v>
      </c>
      <c r="X3" s="16" t="n">
        <f aca="false">IF(AND(M3=0,W3&gt;0,ABS(W3-K3)&gt;0.01),1,0)</f>
        <v>0</v>
      </c>
      <c r="Y3" s="16" t="n">
        <f aca="false">IF(AND(M3=0,W3=0,L3&lt;About!$B$3),1,0)</f>
        <v>0</v>
      </c>
      <c r="Z3" s="16" t="n">
        <f aca="false">M3+SUM(O3:V3)+X3+Y3</f>
        <v>0</v>
      </c>
    </row>
    <row r="4" customFormat="false" ht="15" hidden="false" customHeight="false" outlineLevel="0" collapsed="false">
      <c r="A4" s="2" t="str">
        <f aca="false">Invoices!A4</f>
        <v>INV-10164</v>
      </c>
      <c r="B4" s="2" t="str">
        <f aca="false">Invoices!B4</f>
        <v>Northbridge Print Services</v>
      </c>
      <c r="C4" s="2" t="str">
        <f aca="false">IFERROR(INDEX(Vendor_Aliases!$B$2:$B$25,MATCH(UPPER(TRIM(B4)),Vendor_Aliases!$A$2:$A$25,0)),"UNKNOWN")</f>
        <v>V001</v>
      </c>
      <c r="D4" s="2" t="str">
        <f aca="false">IFERROR(INDEX(Vendors!$E$2:$E$11,MATCH(C4,Vendors!$A$2:$A$11,0)),"")</f>
        <v>Active</v>
      </c>
      <c r="E4" s="2" t="str">
        <f aca="false">IF(Invoices!C4="","",Invoices!C4)</f>
        <v>PO-4620</v>
      </c>
      <c r="F4" s="2" t="str">
        <f aca="false">IF(E4="","",IFERROR(INDEX(POs!$B$2:$B$61,MATCH(E4,POs!$A$2:$A$61,0)),"NOT FOUND"))</f>
        <v>V001</v>
      </c>
      <c r="G4" s="14" t="n">
        <f aca="false">IF(E4="","",IFERROR(INDEX(POs!$E$2:$E$61,MATCH(E4,POs!$A$2:$A$61,0)),""))</f>
        <v>7350</v>
      </c>
      <c r="H4" s="15" t="n">
        <f aca="false">Invoices!D4</f>
        <v>46158</v>
      </c>
      <c r="I4" s="14" t="n">
        <f aca="false">Invoices!E4</f>
        <v>6734.49</v>
      </c>
      <c r="J4" s="14" t="n">
        <f aca="false">Invoices!F4</f>
        <v>875.48</v>
      </c>
      <c r="K4" s="14" t="n">
        <f aca="false">Invoices!G4</f>
        <v>7609.97</v>
      </c>
      <c r="L4" s="15" t="n">
        <f aca="false">IFERROR(H4+INDEX(Vendors!$H$2:$H$11,MATCH(C4,Vendors!$A$2:$A$11,0)),H4+30)</f>
        <v>46188</v>
      </c>
      <c r="M4" s="16" t="n">
        <f aca="false">IF(COUNTIF($A$2:A4,A4)&gt;1,1,0)</f>
        <v>0</v>
      </c>
      <c r="N4" s="14" t="n">
        <f aca="false">IF(E4="","",SUMIFS($I$2:$I$97,$E$2:$E$97,E4,$M$2:$M$97,0))</f>
        <v>6734.49</v>
      </c>
      <c r="O4" s="16" t="n">
        <f aca="false">IF(C4="UNKNOWN",1,0)</f>
        <v>0</v>
      </c>
      <c r="P4" s="16" t="n">
        <f aca="false">IF(E4="",1,0)</f>
        <v>0</v>
      </c>
      <c r="Q4" s="16" t="n">
        <f aca="false">IF(F4="NOT FOUND",1,0)</f>
        <v>0</v>
      </c>
      <c r="R4" s="16" t="n">
        <f aca="false">IF(AND(F4&lt;&gt;"",F4&lt;&gt;"NOT FOUND",F4&lt;&gt;C4),1,0)</f>
        <v>0</v>
      </c>
      <c r="S4" s="16" t="n">
        <f aca="false">IF(AND(M4=0,ISNUMBER(G4),N4&gt;G4),1,0)</f>
        <v>0</v>
      </c>
      <c r="T4" s="16" t="n">
        <f aca="false">IF(ABS(I4+J4-K4)&gt;0.01,1,0)</f>
        <v>0</v>
      </c>
      <c r="U4" s="16" t="n">
        <f aca="false">IFERROR(IF(ABS(J4-ROUND(I4*INDEX(Vendors!$G$2:$G$11,MATCH(C4,Vendors!$A$2:$A$11,0)),2))&gt;0.01,1,0),0)</f>
        <v>0</v>
      </c>
      <c r="V4" s="16" t="n">
        <f aca="false">IF(D4="Inactive",1,0)</f>
        <v>0</v>
      </c>
      <c r="W4" s="14" t="n">
        <f aca="false">SUMIFS(Payments!$D$2:$D$69,Payments!$F$2:$F$69,A4)</f>
        <v>0</v>
      </c>
      <c r="X4" s="16" t="n">
        <f aca="false">IF(AND(M4=0,W4&gt;0,ABS(W4-K4)&gt;0.01),1,0)</f>
        <v>0</v>
      </c>
      <c r="Y4" s="16" t="n">
        <f aca="false">IF(AND(M4=0,W4=0,L4&lt;About!$B$3),1,0)</f>
        <v>1</v>
      </c>
      <c r="Z4" s="16" t="n">
        <f aca="false">M4+SUM(O4:V4)+X4+Y4</f>
        <v>1</v>
      </c>
    </row>
    <row r="5" customFormat="false" ht="15" hidden="false" customHeight="false" outlineLevel="0" collapsed="false">
      <c r="A5" s="2" t="str">
        <f aca="false">Invoices!A5</f>
        <v>INV-10158</v>
      </c>
      <c r="B5" s="2" t="str">
        <f aca="false">Invoices!B5</f>
        <v>lakeshore envelope co.</v>
      </c>
      <c r="C5" s="2" t="str">
        <f aca="false">IFERROR(INDEX(Vendor_Aliases!$B$2:$B$25,MATCH(UPPER(TRIM(B5)),Vendor_Aliases!$A$2:$A$25,0)),"UNKNOWN")</f>
        <v>V003</v>
      </c>
      <c r="D5" s="2" t="str">
        <f aca="false">IFERROR(INDEX(Vendors!$E$2:$E$11,MATCH(C5,Vendors!$A$2:$A$11,0)),"")</f>
        <v>Active</v>
      </c>
      <c r="E5" s="2" t="str">
        <f aca="false">IF(Invoices!C5="","",Invoices!C5)</f>
        <v>PO-4616</v>
      </c>
      <c r="F5" s="2" t="str">
        <f aca="false">IF(E5="","",IFERROR(INDEX(POs!$B$2:$B$61,MATCH(E5,POs!$A$2:$A$61,0)),"NOT FOUND"))</f>
        <v>V003</v>
      </c>
      <c r="G5" s="14" t="n">
        <f aca="false">IF(E5="","",IFERROR(INDEX(POs!$E$2:$E$61,MATCH(E5,POs!$A$2:$A$61,0)),""))</f>
        <v>4850</v>
      </c>
      <c r="H5" s="15" t="n">
        <f aca="false">Invoices!D5</f>
        <v>46208</v>
      </c>
      <c r="I5" s="14" t="n">
        <f aca="false">Invoices!E5</f>
        <v>2199.23</v>
      </c>
      <c r="J5" s="14" t="n">
        <f aca="false">Invoices!F5</f>
        <v>285.9</v>
      </c>
      <c r="K5" s="14" t="n">
        <f aca="false">Invoices!G5</f>
        <v>2485.13</v>
      </c>
      <c r="L5" s="15" t="n">
        <f aca="false">IFERROR(H5+INDEX(Vendors!$H$2:$H$11,MATCH(C5,Vendors!$A$2:$A$11,0)),H5+30)</f>
        <v>46253</v>
      </c>
      <c r="M5" s="16" t="n">
        <f aca="false">IF(COUNTIF($A$2:A5,A5)&gt;1,1,0)</f>
        <v>0</v>
      </c>
      <c r="N5" s="14" t="n">
        <f aca="false">IF(E5="","",SUMIFS($I$2:$I$97,$E$2:$E$97,E5,$M$2:$M$97,0))</f>
        <v>4035.8</v>
      </c>
      <c r="O5" s="16" t="n">
        <f aca="false">IF(C5="UNKNOWN",1,0)</f>
        <v>0</v>
      </c>
      <c r="P5" s="16" t="n">
        <f aca="false">IF(E5="",1,0)</f>
        <v>0</v>
      </c>
      <c r="Q5" s="16" t="n">
        <f aca="false">IF(F5="NOT FOUND",1,0)</f>
        <v>0</v>
      </c>
      <c r="R5" s="16" t="n">
        <f aca="false">IF(AND(F5&lt;&gt;"",F5&lt;&gt;"NOT FOUND",F5&lt;&gt;C5),1,0)</f>
        <v>0</v>
      </c>
      <c r="S5" s="16" t="n">
        <f aca="false">IF(AND(M5=0,ISNUMBER(G5),N5&gt;G5),1,0)</f>
        <v>0</v>
      </c>
      <c r="T5" s="16" t="n">
        <f aca="false">IF(ABS(I5+J5-K5)&gt;0.01,1,0)</f>
        <v>0</v>
      </c>
      <c r="U5" s="16" t="n">
        <f aca="false">IFERROR(IF(ABS(J5-ROUND(I5*INDEX(Vendors!$G$2:$G$11,MATCH(C5,Vendors!$A$2:$A$11,0)),2))&gt;0.01,1,0),0)</f>
        <v>0</v>
      </c>
      <c r="V5" s="16" t="n">
        <f aca="false">IF(D5="Inactive",1,0)</f>
        <v>0</v>
      </c>
      <c r="W5" s="14" t="n">
        <f aca="false">SUMIFS(Payments!$D$2:$D$69,Payments!$F$2:$F$69,A5)</f>
        <v>2485.13</v>
      </c>
      <c r="X5" s="16" t="n">
        <f aca="false">IF(AND(M5=0,W5&gt;0,ABS(W5-K5)&gt;0.01),1,0)</f>
        <v>0</v>
      </c>
      <c r="Y5" s="16" t="n">
        <f aca="false">IF(AND(M5=0,W5=0,L5&lt;About!$B$3),1,0)</f>
        <v>0</v>
      </c>
      <c r="Z5" s="16" t="n">
        <f aca="false">M5+SUM(O5:V5)+X5+Y5</f>
        <v>0</v>
      </c>
    </row>
    <row r="6" customFormat="false" ht="15" hidden="false" customHeight="false" outlineLevel="0" collapsed="false">
      <c r="A6" s="2" t="str">
        <f aca="false">Invoices!A6</f>
        <v>INV-10079</v>
      </c>
      <c r="B6" s="2" t="str">
        <f aca="false">Invoices!B6</f>
        <v>Lakeshore Envelope Co.</v>
      </c>
      <c r="C6" s="2" t="str">
        <f aca="false">IFERROR(INDEX(Vendor_Aliases!$B$2:$B$25,MATCH(UPPER(TRIM(B6)),Vendor_Aliases!$A$2:$A$25,0)),"UNKNOWN")</f>
        <v>V003</v>
      </c>
      <c r="D6" s="2" t="str">
        <f aca="false">IFERROR(INDEX(Vendors!$E$2:$E$11,MATCH(C6,Vendors!$A$2:$A$11,0)),"")</f>
        <v>Active</v>
      </c>
      <c r="E6" s="2" t="str">
        <f aca="false">IF(Invoices!C6="","",Invoices!C6)</f>
        <v>PO-4553</v>
      </c>
      <c r="F6" s="2" t="str">
        <f aca="false">IF(E6="","",IFERROR(INDEX(POs!$B$2:$B$61,MATCH(E6,POs!$A$2:$A$61,0)),"NOT FOUND"))</f>
        <v>V003</v>
      </c>
      <c r="G6" s="14" t="n">
        <f aca="false">IF(E6="","",IFERROR(INDEX(POs!$E$2:$E$61,MATCH(E6,POs!$A$2:$A$61,0)),""))</f>
        <v>7400</v>
      </c>
      <c r="H6" s="15" t="n">
        <f aca="false">Invoices!D6</f>
        <v>46193</v>
      </c>
      <c r="I6" s="14" t="n">
        <f aca="false">Invoices!E6</f>
        <v>7070.6</v>
      </c>
      <c r="J6" s="14" t="n">
        <f aca="false">Invoices!F6</f>
        <v>919.18</v>
      </c>
      <c r="K6" s="14" t="n">
        <f aca="false">Invoices!G6</f>
        <v>7989.78</v>
      </c>
      <c r="L6" s="15" t="n">
        <f aca="false">IFERROR(H6+INDEX(Vendors!$H$2:$H$11,MATCH(C6,Vendors!$A$2:$A$11,0)),H6+30)</f>
        <v>46238</v>
      </c>
      <c r="M6" s="16" t="n">
        <f aca="false">IF(COUNTIF($A$2:A6,A6)&gt;1,1,0)</f>
        <v>0</v>
      </c>
      <c r="N6" s="14" t="n">
        <f aca="false">IF(E6="","",SUMIFS($I$2:$I$97,$E$2:$E$97,E6,$M$2:$M$97,0))</f>
        <v>7070.6</v>
      </c>
      <c r="O6" s="16" t="n">
        <f aca="false">IF(C6="UNKNOWN",1,0)</f>
        <v>0</v>
      </c>
      <c r="P6" s="16" t="n">
        <f aca="false">IF(E6="",1,0)</f>
        <v>0</v>
      </c>
      <c r="Q6" s="16" t="n">
        <f aca="false">IF(F6="NOT FOUND",1,0)</f>
        <v>0</v>
      </c>
      <c r="R6" s="16" t="n">
        <f aca="false">IF(AND(F6&lt;&gt;"",F6&lt;&gt;"NOT FOUND",F6&lt;&gt;C6),1,0)</f>
        <v>0</v>
      </c>
      <c r="S6" s="16" t="n">
        <f aca="false">IF(AND(M6=0,ISNUMBER(G6),N6&gt;G6),1,0)</f>
        <v>0</v>
      </c>
      <c r="T6" s="16" t="n">
        <f aca="false">IF(ABS(I6+J6-K6)&gt;0.01,1,0)</f>
        <v>0</v>
      </c>
      <c r="U6" s="16" t="n">
        <f aca="false">IFERROR(IF(ABS(J6-ROUND(I6*INDEX(Vendors!$G$2:$G$11,MATCH(C6,Vendors!$A$2:$A$11,0)),2))&gt;0.01,1,0),0)</f>
        <v>0</v>
      </c>
      <c r="V6" s="16" t="n">
        <f aca="false">IF(D6="Inactive",1,0)</f>
        <v>0</v>
      </c>
      <c r="W6" s="14" t="n">
        <f aca="false">SUMIFS(Payments!$D$2:$D$69,Payments!$F$2:$F$69,A6)</f>
        <v>7989.78</v>
      </c>
      <c r="X6" s="16" t="n">
        <f aca="false">IF(AND(M6=0,W6&gt;0,ABS(W6-K6)&gt;0.01),1,0)</f>
        <v>0</v>
      </c>
      <c r="Y6" s="16" t="n">
        <f aca="false">IF(AND(M6=0,W6=0,L6&lt;About!$B$3),1,0)</f>
        <v>0</v>
      </c>
      <c r="Z6" s="16" t="n">
        <f aca="false">M6+SUM(O6:V6)+X6+Y6</f>
        <v>0</v>
      </c>
    </row>
    <row r="7" customFormat="false" ht="15" hidden="false" customHeight="false" outlineLevel="0" collapsed="false">
      <c r="A7" s="2" t="str">
        <f aca="false">Invoices!A7</f>
        <v>INV-10032</v>
      </c>
      <c r="B7" s="2" t="str">
        <f aca="false">Invoices!B7</f>
        <v>MAPLE MAILING SOLUTIONS </v>
      </c>
      <c r="C7" s="2" t="str">
        <f aca="false">IFERROR(INDEX(Vendor_Aliases!$B$2:$B$25,MATCH(UPPER(TRIM(B7)),Vendor_Aliases!$A$2:$A$25,0)),"UNKNOWN")</f>
        <v>V002</v>
      </c>
      <c r="D7" s="2" t="str">
        <f aca="false">IFERROR(INDEX(Vendors!$E$2:$E$11,MATCH(C7,Vendors!$A$2:$A$11,0)),"")</f>
        <v>Active</v>
      </c>
      <c r="E7" s="2" t="str">
        <f aca="false">IF(Invoices!C7="","",Invoices!C7)</f>
        <v>PO-4520</v>
      </c>
      <c r="F7" s="2" t="str">
        <f aca="false">IF(E7="","",IFERROR(INDEX(POs!$B$2:$B$61,MATCH(E7,POs!$A$2:$A$61,0)),"NOT FOUND"))</f>
        <v>V002</v>
      </c>
      <c r="G7" s="14" t="n">
        <f aca="false">IF(E7="","",IFERROR(INDEX(POs!$E$2:$E$61,MATCH(E7,POs!$A$2:$A$61,0)),""))</f>
        <v>6150</v>
      </c>
      <c r="H7" s="15" t="n">
        <f aca="false">Invoices!D7</f>
        <v>46118</v>
      </c>
      <c r="I7" s="14" t="n">
        <f aca="false">Invoices!E7</f>
        <v>2372.87</v>
      </c>
      <c r="J7" s="14" t="n">
        <f aca="false">Invoices!F7</f>
        <v>308.47</v>
      </c>
      <c r="K7" s="14" t="n">
        <f aca="false">Invoices!G7</f>
        <v>2681.34</v>
      </c>
      <c r="L7" s="15" t="n">
        <f aca="false">IFERROR(H7+INDEX(Vendors!$H$2:$H$11,MATCH(C7,Vendors!$A$2:$A$11,0)),H7+30)</f>
        <v>46148</v>
      </c>
      <c r="M7" s="16" t="n">
        <f aca="false">IF(COUNTIF($A$2:A7,A7)&gt;1,1,0)</f>
        <v>0</v>
      </c>
      <c r="N7" s="14" t="n">
        <f aca="false">IF(E7="","",SUMIFS($I$2:$I$97,$E$2:$E$97,E7,$M$2:$M$97,0))</f>
        <v>2372.87</v>
      </c>
      <c r="O7" s="16" t="n">
        <f aca="false">IF(C7="UNKNOWN",1,0)</f>
        <v>0</v>
      </c>
      <c r="P7" s="16" t="n">
        <f aca="false">IF(E7="",1,0)</f>
        <v>0</v>
      </c>
      <c r="Q7" s="16" t="n">
        <f aca="false">IF(F7="NOT FOUND",1,0)</f>
        <v>0</v>
      </c>
      <c r="R7" s="16" t="n">
        <f aca="false">IF(AND(F7&lt;&gt;"",F7&lt;&gt;"NOT FOUND",F7&lt;&gt;C7),1,0)</f>
        <v>0</v>
      </c>
      <c r="S7" s="16" t="n">
        <f aca="false">IF(AND(M7=0,ISNUMBER(G7),N7&gt;G7),1,0)</f>
        <v>0</v>
      </c>
      <c r="T7" s="16" t="n">
        <f aca="false">IF(ABS(I7+J7-K7)&gt;0.01,1,0)</f>
        <v>0</v>
      </c>
      <c r="U7" s="16" t="n">
        <f aca="false">IFERROR(IF(ABS(J7-ROUND(I7*INDEX(Vendors!$G$2:$G$11,MATCH(C7,Vendors!$A$2:$A$11,0)),2))&gt;0.01,1,0),0)</f>
        <v>0</v>
      </c>
      <c r="V7" s="16" t="n">
        <f aca="false">IF(D7="Inactive",1,0)</f>
        <v>0</v>
      </c>
      <c r="W7" s="14" t="n">
        <f aca="false">SUMIFS(Payments!$D$2:$D$69,Payments!$F$2:$F$69,A7)</f>
        <v>2681.34</v>
      </c>
      <c r="X7" s="16" t="n">
        <f aca="false">IF(AND(M7=0,W7&gt;0,ABS(W7-K7)&gt;0.01),1,0)</f>
        <v>0</v>
      </c>
      <c r="Y7" s="16" t="n">
        <f aca="false">IF(AND(M7=0,W7=0,L7&lt;About!$B$3),1,0)</f>
        <v>0</v>
      </c>
      <c r="Z7" s="16" t="n">
        <f aca="false">M7+SUM(O7:V7)+X7+Y7</f>
        <v>0</v>
      </c>
    </row>
    <row r="8" customFormat="false" ht="15" hidden="false" customHeight="false" outlineLevel="0" collapsed="false">
      <c r="A8" s="2" t="str">
        <f aca="false">Invoices!A8</f>
        <v>INV-10111</v>
      </c>
      <c r="B8" s="2" t="str">
        <f aca="false">Invoices!B8</f>
        <v>Maple Mailing Solutions</v>
      </c>
      <c r="C8" s="2" t="str">
        <f aca="false">IFERROR(INDEX(Vendor_Aliases!$B$2:$B$25,MATCH(UPPER(TRIM(B8)),Vendor_Aliases!$A$2:$A$25,0)),"UNKNOWN")</f>
        <v>V002</v>
      </c>
      <c r="D8" s="2" t="str">
        <f aca="false">IFERROR(INDEX(Vendors!$E$2:$E$11,MATCH(C8,Vendors!$A$2:$A$11,0)),"")</f>
        <v>Active</v>
      </c>
      <c r="E8" s="2" t="str">
        <f aca="false">IF(Invoices!C8="","",Invoices!C8)</f>
        <v>PO-4582</v>
      </c>
      <c r="F8" s="2" t="str">
        <f aca="false">IF(E8="","",IFERROR(INDEX(POs!$B$2:$B$61,MATCH(E8,POs!$A$2:$A$61,0)),"NOT FOUND"))</f>
        <v>V002</v>
      </c>
      <c r="G8" s="14" t="n">
        <f aca="false">IF(E8="","",IFERROR(INDEX(POs!$E$2:$E$61,MATCH(E8,POs!$A$2:$A$61,0)),""))</f>
        <v>14300</v>
      </c>
      <c r="H8" s="15" t="n">
        <f aca="false">Invoices!D8</f>
        <v>46090</v>
      </c>
      <c r="I8" s="14" t="n">
        <f aca="false">Invoices!E8</f>
        <v>13086</v>
      </c>
      <c r="J8" s="14" t="n">
        <f aca="false">Invoices!F8</f>
        <v>1701.18</v>
      </c>
      <c r="K8" s="14" t="n">
        <f aca="false">Invoices!G8</f>
        <v>14787.18</v>
      </c>
      <c r="L8" s="15" t="n">
        <f aca="false">IFERROR(H8+INDEX(Vendors!$H$2:$H$11,MATCH(C8,Vendors!$A$2:$A$11,0)),H8+30)</f>
        <v>46120</v>
      </c>
      <c r="M8" s="16" t="n">
        <f aca="false">IF(COUNTIF($A$2:A8,A8)&gt;1,1,0)</f>
        <v>0</v>
      </c>
      <c r="N8" s="14" t="n">
        <f aca="false">IF(E8="","",SUMIFS($I$2:$I$97,$E$2:$E$97,E8,$M$2:$M$97,0))</f>
        <v>13086</v>
      </c>
      <c r="O8" s="16" t="n">
        <f aca="false">IF(C8="UNKNOWN",1,0)</f>
        <v>0</v>
      </c>
      <c r="P8" s="16" t="n">
        <f aca="false">IF(E8="",1,0)</f>
        <v>0</v>
      </c>
      <c r="Q8" s="16" t="n">
        <f aca="false">IF(F8="NOT FOUND",1,0)</f>
        <v>0</v>
      </c>
      <c r="R8" s="16" t="n">
        <f aca="false">IF(AND(F8&lt;&gt;"",F8&lt;&gt;"NOT FOUND",F8&lt;&gt;C8),1,0)</f>
        <v>0</v>
      </c>
      <c r="S8" s="16" t="n">
        <f aca="false">IF(AND(M8=0,ISNUMBER(G8),N8&gt;G8),1,0)</f>
        <v>0</v>
      </c>
      <c r="T8" s="16" t="n">
        <f aca="false">IF(ABS(I8+J8-K8)&gt;0.01,1,0)</f>
        <v>0</v>
      </c>
      <c r="U8" s="16" t="n">
        <f aca="false">IFERROR(IF(ABS(J8-ROUND(I8*INDEX(Vendors!$G$2:$G$11,MATCH(C8,Vendors!$A$2:$A$11,0)),2))&gt;0.01,1,0),0)</f>
        <v>0</v>
      </c>
      <c r="V8" s="16" t="n">
        <f aca="false">IF(D8="Inactive",1,0)</f>
        <v>0</v>
      </c>
      <c r="W8" s="14" t="n">
        <f aca="false">SUMIFS(Payments!$D$2:$D$69,Payments!$F$2:$F$69,A8)</f>
        <v>0</v>
      </c>
      <c r="X8" s="16" t="n">
        <f aca="false">IF(AND(M8=0,W8&gt;0,ABS(W8-K8)&gt;0.01),1,0)</f>
        <v>0</v>
      </c>
      <c r="Y8" s="16" t="n">
        <f aca="false">IF(AND(M8=0,W8=0,L8&lt;About!$B$3),1,0)</f>
        <v>1</v>
      </c>
      <c r="Z8" s="16" t="n">
        <f aca="false">M8+SUM(O8:V8)+X8+Y8</f>
        <v>1</v>
      </c>
    </row>
    <row r="9" customFormat="false" ht="15" hidden="false" customHeight="false" outlineLevel="0" collapsed="false">
      <c r="A9" s="2" t="str">
        <f aca="false">Invoices!A9</f>
        <v>INV-10077</v>
      </c>
      <c r="B9" s="2" t="str">
        <f aca="false">Invoices!B9</f>
        <v>Maple Mailing Solutions</v>
      </c>
      <c r="C9" s="2" t="str">
        <f aca="false">IFERROR(INDEX(Vendor_Aliases!$B$2:$B$25,MATCH(UPPER(TRIM(B9)),Vendor_Aliases!$A$2:$A$25,0)),"UNKNOWN")</f>
        <v>V002</v>
      </c>
      <c r="D9" s="2" t="str">
        <f aca="false">IFERROR(INDEX(Vendors!$E$2:$E$11,MATCH(C9,Vendors!$A$2:$A$11,0)),"")</f>
        <v>Active</v>
      </c>
      <c r="E9" s="2" t="str">
        <f aca="false">IF(Invoices!C9="","",Invoices!C9)</f>
        <v>PO-4550</v>
      </c>
      <c r="F9" s="2" t="str">
        <f aca="false">IF(E9="","",IFERROR(INDEX(POs!$B$2:$B$61,MATCH(E9,POs!$A$2:$A$61,0)),"NOT FOUND"))</f>
        <v>V002</v>
      </c>
      <c r="G9" s="14" t="n">
        <f aca="false">IF(E9="","",IFERROR(INDEX(POs!$E$2:$E$61,MATCH(E9,POs!$A$2:$A$61,0)),""))</f>
        <v>5250</v>
      </c>
      <c r="H9" s="15" t="n">
        <f aca="false">Invoices!D9</f>
        <v>46240</v>
      </c>
      <c r="I9" s="14" t="n">
        <f aca="false">Invoices!E9</f>
        <v>4742.08</v>
      </c>
      <c r="J9" s="14" t="n">
        <f aca="false">Invoices!F9</f>
        <v>616.47</v>
      </c>
      <c r="K9" s="14" t="n">
        <f aca="false">Invoices!G9</f>
        <v>5358.55</v>
      </c>
      <c r="L9" s="15" t="n">
        <f aca="false">IFERROR(H9+INDEX(Vendors!$H$2:$H$11,MATCH(C9,Vendors!$A$2:$A$11,0)),H9+30)</f>
        <v>46270</v>
      </c>
      <c r="M9" s="16" t="n">
        <f aca="false">IF(COUNTIF($A$2:A9,A9)&gt;1,1,0)</f>
        <v>0</v>
      </c>
      <c r="N9" s="14" t="n">
        <f aca="false">IF(E9="","",SUMIFS($I$2:$I$97,$E$2:$E$97,E9,$M$2:$M$97,0))</f>
        <v>4742.08</v>
      </c>
      <c r="O9" s="16" t="n">
        <f aca="false">IF(C9="UNKNOWN",1,0)</f>
        <v>0</v>
      </c>
      <c r="P9" s="16" t="n">
        <f aca="false">IF(E9="",1,0)</f>
        <v>0</v>
      </c>
      <c r="Q9" s="16" t="n">
        <f aca="false">IF(F9="NOT FOUND",1,0)</f>
        <v>0</v>
      </c>
      <c r="R9" s="16" t="n">
        <f aca="false">IF(AND(F9&lt;&gt;"",F9&lt;&gt;"NOT FOUND",F9&lt;&gt;C9),1,0)</f>
        <v>0</v>
      </c>
      <c r="S9" s="16" t="n">
        <f aca="false">IF(AND(M9=0,ISNUMBER(G9),N9&gt;G9),1,0)</f>
        <v>0</v>
      </c>
      <c r="T9" s="16" t="n">
        <f aca="false">IF(ABS(I9+J9-K9)&gt;0.01,1,0)</f>
        <v>0</v>
      </c>
      <c r="U9" s="16" t="n">
        <f aca="false">IFERROR(IF(ABS(J9-ROUND(I9*INDEX(Vendors!$G$2:$G$11,MATCH(C9,Vendors!$A$2:$A$11,0)),2))&gt;0.01,1,0),0)</f>
        <v>0</v>
      </c>
      <c r="V9" s="16" t="n">
        <f aca="false">IF(D9="Inactive",1,0)</f>
        <v>0</v>
      </c>
      <c r="W9" s="14" t="n">
        <f aca="false">SUMIFS(Payments!$D$2:$D$69,Payments!$F$2:$F$69,A9)</f>
        <v>5358.55</v>
      </c>
      <c r="X9" s="16" t="n">
        <f aca="false">IF(AND(M9=0,W9&gt;0,ABS(W9-K9)&gt;0.01),1,0)</f>
        <v>0</v>
      </c>
      <c r="Y9" s="16" t="n">
        <f aca="false">IF(AND(M9=0,W9=0,L9&lt;About!$B$3),1,0)</f>
        <v>0</v>
      </c>
      <c r="Z9" s="16" t="n">
        <f aca="false">M9+SUM(O9:V9)+X9+Y9</f>
        <v>0</v>
      </c>
    </row>
    <row r="10" customFormat="false" ht="15" hidden="false" customHeight="false" outlineLevel="0" collapsed="false">
      <c r="A10" s="2" t="str">
        <f aca="false">Invoices!A10</f>
        <v>INV-10056</v>
      </c>
      <c r="B10" s="2" t="str">
        <f aca="false">Invoices!B10</f>
        <v>CLEARPATH FULFILMENT</v>
      </c>
      <c r="C10" s="2" t="str">
        <f aca="false">IFERROR(INDEX(Vendor_Aliases!$B$2:$B$25,MATCH(UPPER(TRIM(B10)),Vendor_Aliases!$A$2:$A$25,0)),"UNKNOWN")</f>
        <v>V008</v>
      </c>
      <c r="D10" s="2" t="str">
        <f aca="false">IFERROR(INDEX(Vendors!$E$2:$E$11,MATCH(C10,Vendors!$A$2:$A$11,0)),"")</f>
        <v>Active</v>
      </c>
      <c r="E10" s="2" t="str">
        <f aca="false">IF(Invoices!C10="","",Invoices!C10)</f>
        <v>PO-4537</v>
      </c>
      <c r="F10" s="2" t="str">
        <f aca="false">IF(E10="","",IFERROR(INDEX(POs!$B$2:$B$61,MATCH(E10,POs!$A$2:$A$61,0)),"NOT FOUND"))</f>
        <v>V008</v>
      </c>
      <c r="G10" s="14" t="n">
        <f aca="false">IF(E10="","",IFERROR(INDEX(POs!$E$2:$E$61,MATCH(E10,POs!$A$2:$A$61,0)),""))</f>
        <v>15500</v>
      </c>
      <c r="H10" s="15" t="n">
        <f aca="false">Invoices!D10</f>
        <v>46158</v>
      </c>
      <c r="I10" s="14" t="n">
        <f aca="false">Invoices!E10</f>
        <v>6017.78</v>
      </c>
      <c r="J10" s="14" t="n">
        <f aca="false">Invoices!F10</f>
        <v>782.31</v>
      </c>
      <c r="K10" s="14" t="n">
        <f aca="false">Invoices!G10</f>
        <v>6800.09</v>
      </c>
      <c r="L10" s="15" t="n">
        <f aca="false">IFERROR(H10+INDEX(Vendors!$H$2:$H$11,MATCH(C10,Vendors!$A$2:$A$11,0)),H10+30)</f>
        <v>46188</v>
      </c>
      <c r="M10" s="16" t="n">
        <f aca="false">IF(COUNTIF($A$2:A10,A10)&gt;1,1,0)</f>
        <v>0</v>
      </c>
      <c r="N10" s="14" t="n">
        <f aca="false">IF(E10="","",SUMIFS($I$2:$I$97,$E$2:$E$97,E10,$M$2:$M$97,0))</f>
        <v>13089.1</v>
      </c>
      <c r="O10" s="16" t="n">
        <f aca="false">IF(C10="UNKNOWN",1,0)</f>
        <v>0</v>
      </c>
      <c r="P10" s="16" t="n">
        <f aca="false">IF(E10="",1,0)</f>
        <v>0</v>
      </c>
      <c r="Q10" s="16" t="n">
        <f aca="false">IF(F10="NOT FOUND",1,0)</f>
        <v>0</v>
      </c>
      <c r="R10" s="16" t="n">
        <f aca="false">IF(AND(F10&lt;&gt;"",F10&lt;&gt;"NOT FOUND",F10&lt;&gt;C10),1,0)</f>
        <v>0</v>
      </c>
      <c r="S10" s="16" t="n">
        <f aca="false">IF(AND(M10=0,ISNUMBER(G10),N10&gt;G10),1,0)</f>
        <v>0</v>
      </c>
      <c r="T10" s="16" t="n">
        <f aca="false">IF(ABS(I10+J10-K10)&gt;0.01,1,0)</f>
        <v>0</v>
      </c>
      <c r="U10" s="16" t="n">
        <f aca="false">IFERROR(IF(ABS(J10-ROUND(I10*INDEX(Vendors!$G$2:$G$11,MATCH(C10,Vendors!$A$2:$A$11,0)),2))&gt;0.01,1,0),0)</f>
        <v>0</v>
      </c>
      <c r="V10" s="16" t="n">
        <f aca="false">IF(D10="Inactive",1,0)</f>
        <v>0</v>
      </c>
      <c r="W10" s="14" t="n">
        <f aca="false">SUMIFS(Payments!$D$2:$D$69,Payments!$F$2:$F$69,A10)</f>
        <v>6800.09</v>
      </c>
      <c r="X10" s="16" t="n">
        <f aca="false">IF(AND(M10=0,W10&gt;0,ABS(W10-K10)&gt;0.01),1,0)</f>
        <v>0</v>
      </c>
      <c r="Y10" s="16" t="n">
        <f aca="false">IF(AND(M10=0,W10=0,L10&lt;About!$B$3),1,0)</f>
        <v>0</v>
      </c>
      <c r="Z10" s="16" t="n">
        <f aca="false">M10+SUM(O10:V10)+X10+Y10</f>
        <v>0</v>
      </c>
    </row>
    <row r="11" customFormat="false" ht="15" hidden="false" customHeight="false" outlineLevel="0" collapsed="false">
      <c r="A11" s="2" t="str">
        <f aca="false">Invoices!A11</f>
        <v>INV-10070</v>
      </c>
      <c r="B11" s="2" t="str">
        <f aca="false">Invoices!B11</f>
        <v>lakeshore envelope co.</v>
      </c>
      <c r="C11" s="2" t="str">
        <f aca="false">IFERROR(INDEX(Vendor_Aliases!$B$2:$B$25,MATCH(UPPER(TRIM(B11)),Vendor_Aliases!$A$2:$A$25,0)),"UNKNOWN")</f>
        <v>V003</v>
      </c>
      <c r="D11" s="2" t="str">
        <f aca="false">IFERROR(INDEX(Vendors!$E$2:$E$11,MATCH(C11,Vendors!$A$2:$A$11,0)),"")</f>
        <v>Active</v>
      </c>
      <c r="E11" s="2" t="str">
        <f aca="false">IF(Invoices!C11="","",Invoices!C11)</f>
        <v>PO-4543</v>
      </c>
      <c r="F11" s="2" t="str">
        <f aca="false">IF(E11="","",IFERROR(INDEX(POs!$B$2:$B$61,MATCH(E11,POs!$A$2:$A$61,0)),"NOT FOUND"))</f>
        <v>V003</v>
      </c>
      <c r="G11" s="14" t="n">
        <f aca="false">IF(E11="","",IFERROR(INDEX(POs!$E$2:$E$61,MATCH(E11,POs!$A$2:$A$61,0)),""))</f>
        <v>2450</v>
      </c>
      <c r="H11" s="15" t="n">
        <f aca="false">Invoices!D11</f>
        <v>46188</v>
      </c>
      <c r="I11" s="14" t="n">
        <f aca="false">Invoices!E11</f>
        <v>1121.16</v>
      </c>
      <c r="J11" s="14" t="n">
        <f aca="false">Invoices!F11</f>
        <v>145.75</v>
      </c>
      <c r="K11" s="14" t="n">
        <f aca="false">Invoices!G11</f>
        <v>1266.91</v>
      </c>
      <c r="L11" s="15" t="n">
        <f aca="false">IFERROR(H11+INDEX(Vendors!$H$2:$H$11,MATCH(C11,Vendors!$A$2:$A$11,0)),H11+30)</f>
        <v>46233</v>
      </c>
      <c r="M11" s="16" t="n">
        <f aca="false">IF(COUNTIF($A$2:A11,A11)&gt;1,1,0)</f>
        <v>0</v>
      </c>
      <c r="N11" s="14" t="n">
        <f aca="false">IF(E11="","",SUMIFS($I$2:$I$97,$E$2:$E$97,E11,$M$2:$M$97,0))</f>
        <v>2068.43</v>
      </c>
      <c r="O11" s="16" t="n">
        <f aca="false">IF(C11="UNKNOWN",1,0)</f>
        <v>0</v>
      </c>
      <c r="P11" s="16" t="n">
        <f aca="false">IF(E11="",1,0)</f>
        <v>0</v>
      </c>
      <c r="Q11" s="16" t="n">
        <f aca="false">IF(F11="NOT FOUND",1,0)</f>
        <v>0</v>
      </c>
      <c r="R11" s="16" t="n">
        <f aca="false">IF(AND(F11&lt;&gt;"",F11&lt;&gt;"NOT FOUND",F11&lt;&gt;C11),1,0)</f>
        <v>0</v>
      </c>
      <c r="S11" s="16" t="n">
        <f aca="false">IF(AND(M11=0,ISNUMBER(G11),N11&gt;G11),1,0)</f>
        <v>0</v>
      </c>
      <c r="T11" s="16" t="n">
        <f aca="false">IF(ABS(I11+J11-K11)&gt;0.01,1,0)</f>
        <v>0</v>
      </c>
      <c r="U11" s="16" t="n">
        <f aca="false">IFERROR(IF(ABS(J11-ROUND(I11*INDEX(Vendors!$G$2:$G$11,MATCH(C11,Vendors!$A$2:$A$11,0)),2))&gt;0.01,1,0),0)</f>
        <v>0</v>
      </c>
      <c r="V11" s="16" t="n">
        <f aca="false">IF(D11="Inactive",1,0)</f>
        <v>0</v>
      </c>
      <c r="W11" s="14" t="n">
        <f aca="false">SUMIFS(Payments!$D$2:$D$69,Payments!$F$2:$F$69,A11)</f>
        <v>1266.91</v>
      </c>
      <c r="X11" s="16" t="n">
        <f aca="false">IF(AND(M11=0,W11&gt;0,ABS(W11-K11)&gt;0.01),1,0)</f>
        <v>0</v>
      </c>
      <c r="Y11" s="16" t="n">
        <f aca="false">IF(AND(M11=0,W11=0,L11&lt;About!$B$3),1,0)</f>
        <v>0</v>
      </c>
      <c r="Z11" s="16" t="n">
        <f aca="false">M11+SUM(O11:V11)+X11+Y11</f>
        <v>0</v>
      </c>
    </row>
    <row r="12" customFormat="false" ht="15" hidden="false" customHeight="false" outlineLevel="0" collapsed="false">
      <c r="A12" s="2" t="str">
        <f aca="false">Invoices!A12</f>
        <v>INV-10028</v>
      </c>
      <c r="B12" s="2" t="str">
        <f aca="false">Invoices!B12</f>
        <v>Summit Digital Print Inc.</v>
      </c>
      <c r="C12" s="2" t="str">
        <f aca="false">IFERROR(INDEX(Vendor_Aliases!$B$2:$B$25,MATCH(UPPER(TRIM(B12)),Vendor_Aliases!$A$2:$A$25,0)),"UNKNOWN")</f>
        <v>V004</v>
      </c>
      <c r="D12" s="2" t="str">
        <f aca="false">IFERROR(INDEX(Vendors!$E$2:$E$11,MATCH(C12,Vendors!$A$2:$A$11,0)),"")</f>
        <v>Active</v>
      </c>
      <c r="E12" s="2" t="str">
        <f aca="false">IF(Invoices!C12="","",Invoices!C12)</f>
        <v>PO-4516</v>
      </c>
      <c r="F12" s="2" t="str">
        <f aca="false">IF(E12="","",IFERROR(INDEX(POs!$B$2:$B$61,MATCH(E12,POs!$A$2:$A$61,0)),"NOT FOUND"))</f>
        <v>V004</v>
      </c>
      <c r="G12" s="14" t="n">
        <f aca="false">IF(E12="","",IFERROR(INDEX(POs!$E$2:$E$61,MATCH(E12,POs!$A$2:$A$61,0)),""))</f>
        <v>4000</v>
      </c>
      <c r="H12" s="15" t="n">
        <f aca="false">Invoices!D12</f>
        <v>46048</v>
      </c>
      <c r="I12" s="14" t="n">
        <f aca="false">Invoices!E12</f>
        <v>3495.03</v>
      </c>
      <c r="J12" s="14" t="n">
        <f aca="false">Invoices!F12</f>
        <v>523.38</v>
      </c>
      <c r="K12" s="14" t="n">
        <f aca="false">Invoices!G12</f>
        <v>4018.41</v>
      </c>
      <c r="L12" s="15" t="n">
        <f aca="false">IFERROR(H12+INDEX(Vendors!$H$2:$H$11,MATCH(C12,Vendors!$A$2:$A$11,0)),H12+30)</f>
        <v>46078</v>
      </c>
      <c r="M12" s="16" t="n">
        <f aca="false">IF(COUNTIF($A$2:A12,A12)&gt;1,1,0)</f>
        <v>0</v>
      </c>
      <c r="N12" s="14" t="n">
        <f aca="false">IF(E12="","",SUMIFS($I$2:$I$97,$E$2:$E$97,E12,$M$2:$M$97,0))</f>
        <v>3495.03</v>
      </c>
      <c r="O12" s="16" t="n">
        <f aca="false">IF(C12="UNKNOWN",1,0)</f>
        <v>0</v>
      </c>
      <c r="P12" s="16" t="n">
        <f aca="false">IF(E12="",1,0)</f>
        <v>0</v>
      </c>
      <c r="Q12" s="16" t="n">
        <f aca="false">IF(F12="NOT FOUND",1,0)</f>
        <v>0</v>
      </c>
      <c r="R12" s="16" t="n">
        <f aca="false">IF(AND(F12&lt;&gt;"",F12&lt;&gt;"NOT FOUND",F12&lt;&gt;C12),1,0)</f>
        <v>0</v>
      </c>
      <c r="S12" s="16" t="n">
        <f aca="false">IF(AND(M12=0,ISNUMBER(G12),N12&gt;G12),1,0)</f>
        <v>0</v>
      </c>
      <c r="T12" s="16" t="n">
        <f aca="false">IF(ABS(I12+J12-K12)&gt;0.01,1,0)</f>
        <v>0</v>
      </c>
      <c r="U12" s="16" t="n">
        <f aca="false">IFERROR(IF(ABS(J12-ROUND(I12*INDEX(Vendors!$G$2:$G$11,MATCH(C12,Vendors!$A$2:$A$11,0)),2))&gt;0.01,1,0),0)</f>
        <v>0</v>
      </c>
      <c r="V12" s="16" t="n">
        <f aca="false">IF(D12="Inactive",1,0)</f>
        <v>0</v>
      </c>
      <c r="W12" s="14" t="n">
        <f aca="false">SUMIFS(Payments!$D$2:$D$69,Payments!$F$2:$F$69,A12)</f>
        <v>4018.41</v>
      </c>
      <c r="X12" s="16" t="n">
        <f aca="false">IF(AND(M12=0,W12&gt;0,ABS(W12-K12)&gt;0.01),1,0)</f>
        <v>0</v>
      </c>
      <c r="Y12" s="16" t="n">
        <f aca="false">IF(AND(M12=0,W12=0,L12&lt;About!$B$3),1,0)</f>
        <v>0</v>
      </c>
      <c r="Z12" s="16" t="n">
        <f aca="false">M12+SUM(O12:V12)+X12+Y12</f>
        <v>0</v>
      </c>
    </row>
    <row r="13" customFormat="false" ht="15" hidden="false" customHeight="false" outlineLevel="0" collapsed="false">
      <c r="A13" s="2" t="str">
        <f aca="false">Invoices!A13</f>
        <v>INV-10046</v>
      </c>
      <c r="B13" s="2" t="str">
        <f aca="false">Invoices!B13</f>
        <v>ClearPath Fulfillment</v>
      </c>
      <c r="C13" s="2" t="str">
        <f aca="false">IFERROR(INDEX(Vendor_Aliases!$B$2:$B$25,MATCH(UPPER(TRIM(B13)),Vendor_Aliases!$A$2:$A$25,0)),"UNKNOWN")</f>
        <v>V008</v>
      </c>
      <c r="D13" s="2" t="str">
        <f aca="false">IFERROR(INDEX(Vendors!$E$2:$E$11,MATCH(C13,Vendors!$A$2:$A$11,0)),"")</f>
        <v>Active</v>
      </c>
      <c r="E13" s="2" t="str">
        <f aca="false">IF(Invoices!C13="","",Invoices!C13)</f>
        <v>PO-4531</v>
      </c>
      <c r="F13" s="2" t="str">
        <f aca="false">IF(E13="","",IFERROR(INDEX(POs!$B$2:$B$61,MATCH(E13,POs!$A$2:$A$61,0)),"NOT FOUND"))</f>
        <v>V008</v>
      </c>
      <c r="G13" s="14" t="n">
        <f aca="false">IF(E13="","",IFERROR(INDEX(POs!$E$2:$E$61,MATCH(E13,POs!$A$2:$A$61,0)),""))</f>
        <v>8300</v>
      </c>
      <c r="H13" s="15" t="n">
        <f aca="false">Invoices!D13</f>
        <v>46075</v>
      </c>
      <c r="I13" s="14" t="n">
        <f aca="false">Invoices!E13</f>
        <v>7344.57</v>
      </c>
      <c r="J13" s="14" t="n">
        <f aca="false">Invoices!F13</f>
        <v>954.79</v>
      </c>
      <c r="K13" s="14" t="n">
        <f aca="false">Invoices!G13</f>
        <v>8299.36</v>
      </c>
      <c r="L13" s="15" t="n">
        <f aca="false">IFERROR(H13+INDEX(Vendors!$H$2:$H$11,MATCH(C13,Vendors!$A$2:$A$11,0)),H13+30)</f>
        <v>46105</v>
      </c>
      <c r="M13" s="16" t="n">
        <f aca="false">IF(COUNTIF($A$2:A13,A13)&gt;1,1,0)</f>
        <v>0</v>
      </c>
      <c r="N13" s="14" t="n">
        <f aca="false">IF(E13="","",SUMIFS($I$2:$I$97,$E$2:$E$97,E13,$M$2:$M$97,0))</f>
        <v>7344.57</v>
      </c>
      <c r="O13" s="16" t="n">
        <f aca="false">IF(C13="UNKNOWN",1,0)</f>
        <v>0</v>
      </c>
      <c r="P13" s="16" t="n">
        <f aca="false">IF(E13="",1,0)</f>
        <v>0</v>
      </c>
      <c r="Q13" s="16" t="n">
        <f aca="false">IF(F13="NOT FOUND",1,0)</f>
        <v>0</v>
      </c>
      <c r="R13" s="16" t="n">
        <f aca="false">IF(AND(F13&lt;&gt;"",F13&lt;&gt;"NOT FOUND",F13&lt;&gt;C13),1,0)</f>
        <v>0</v>
      </c>
      <c r="S13" s="16" t="n">
        <f aca="false">IF(AND(M13=0,ISNUMBER(G13),N13&gt;G13),1,0)</f>
        <v>0</v>
      </c>
      <c r="T13" s="16" t="n">
        <f aca="false">IF(ABS(I13+J13-K13)&gt;0.01,1,0)</f>
        <v>0</v>
      </c>
      <c r="U13" s="16" t="n">
        <f aca="false">IFERROR(IF(ABS(J13-ROUND(I13*INDEX(Vendors!$G$2:$G$11,MATCH(C13,Vendors!$A$2:$A$11,0)),2))&gt;0.01,1,0),0)</f>
        <v>0</v>
      </c>
      <c r="V13" s="16" t="n">
        <f aca="false">IF(D13="Inactive",1,0)</f>
        <v>0</v>
      </c>
      <c r="W13" s="14" t="n">
        <f aca="false">SUMIFS(Payments!$D$2:$D$69,Payments!$F$2:$F$69,A13)</f>
        <v>8299.36</v>
      </c>
      <c r="X13" s="16" t="n">
        <f aca="false">IF(AND(M13=0,W13&gt;0,ABS(W13-K13)&gt;0.01),1,0)</f>
        <v>0</v>
      </c>
      <c r="Y13" s="16" t="n">
        <f aca="false">IF(AND(M13=0,W13=0,L13&lt;About!$B$3),1,0)</f>
        <v>0</v>
      </c>
      <c r="Z13" s="16" t="n">
        <f aca="false">M13+SUM(O13:V13)+X13+Y13</f>
        <v>0</v>
      </c>
    </row>
    <row r="14" customFormat="false" ht="15" hidden="false" customHeight="false" outlineLevel="0" collapsed="false">
      <c r="A14" s="2" t="str">
        <f aca="false">Invoices!A14</f>
        <v>INV-10050</v>
      </c>
      <c r="B14" s="2" t="str">
        <f aca="false">Invoices!B14</f>
        <v>Maple Mailing Solutions</v>
      </c>
      <c r="C14" s="2" t="str">
        <f aca="false">IFERROR(INDEX(Vendor_Aliases!$B$2:$B$25,MATCH(UPPER(TRIM(B14)),Vendor_Aliases!$A$2:$A$25,0)),"UNKNOWN")</f>
        <v>V002</v>
      </c>
      <c r="D14" s="2" t="str">
        <f aca="false">IFERROR(INDEX(Vendors!$E$2:$E$11,MATCH(C14,Vendors!$A$2:$A$11,0)),"")</f>
        <v>Active</v>
      </c>
      <c r="E14" s="2" t="str">
        <f aca="false">IF(Invoices!C14="","",Invoices!C14)</f>
        <v>PO-4536</v>
      </c>
      <c r="F14" s="2" t="str">
        <f aca="false">IF(E14="","",IFERROR(INDEX(POs!$B$2:$B$61,MATCH(E14,POs!$A$2:$A$61,0)),"NOT FOUND"))</f>
        <v>V002</v>
      </c>
      <c r="G14" s="14" t="n">
        <f aca="false">IF(E14="","",IFERROR(INDEX(POs!$E$2:$E$61,MATCH(E14,POs!$A$2:$A$61,0)),""))</f>
        <v>18050</v>
      </c>
      <c r="H14" s="15" t="n">
        <f aca="false">Invoices!D14</f>
        <v>46284</v>
      </c>
      <c r="I14" s="14" t="n">
        <f aca="false">Invoices!E14</f>
        <v>16890.67</v>
      </c>
      <c r="J14" s="14" t="n">
        <f aca="false">Invoices!F14</f>
        <v>2195.79</v>
      </c>
      <c r="K14" s="14" t="n">
        <f aca="false">Invoices!G14</f>
        <v>19086.46</v>
      </c>
      <c r="L14" s="15" t="n">
        <f aca="false">IFERROR(H14+INDEX(Vendors!$H$2:$H$11,MATCH(C14,Vendors!$A$2:$A$11,0)),H14+30)</f>
        <v>46314</v>
      </c>
      <c r="M14" s="16" t="n">
        <f aca="false">IF(COUNTIF($A$2:A14,A14)&gt;1,1,0)</f>
        <v>0</v>
      </c>
      <c r="N14" s="14" t="n">
        <f aca="false">IF(E14="","",SUMIFS($I$2:$I$97,$E$2:$E$97,E14,$M$2:$M$97,0))</f>
        <v>16890.67</v>
      </c>
      <c r="O14" s="16" t="n">
        <f aca="false">IF(C14="UNKNOWN",1,0)</f>
        <v>0</v>
      </c>
      <c r="P14" s="16" t="n">
        <f aca="false">IF(E14="",1,0)</f>
        <v>0</v>
      </c>
      <c r="Q14" s="16" t="n">
        <f aca="false">IF(F14="NOT FOUND",1,0)</f>
        <v>0</v>
      </c>
      <c r="R14" s="16" t="n">
        <f aca="false">IF(AND(F14&lt;&gt;"",F14&lt;&gt;"NOT FOUND",F14&lt;&gt;C14),1,0)</f>
        <v>0</v>
      </c>
      <c r="S14" s="16" t="n">
        <f aca="false">IF(AND(M14=0,ISNUMBER(G14),N14&gt;G14),1,0)</f>
        <v>0</v>
      </c>
      <c r="T14" s="16" t="n">
        <f aca="false">IF(ABS(I14+J14-K14)&gt;0.01,1,0)</f>
        <v>0</v>
      </c>
      <c r="U14" s="16" t="n">
        <f aca="false">IFERROR(IF(ABS(J14-ROUND(I14*INDEX(Vendors!$G$2:$G$11,MATCH(C14,Vendors!$A$2:$A$11,0)),2))&gt;0.01,1,0),0)</f>
        <v>0</v>
      </c>
      <c r="V14" s="16" t="n">
        <f aca="false">IF(D14="Inactive",1,0)</f>
        <v>0</v>
      </c>
      <c r="W14" s="14" t="n">
        <f aca="false">SUMIFS(Payments!$D$2:$D$69,Payments!$F$2:$F$69,A14)</f>
        <v>0</v>
      </c>
      <c r="X14" s="16" t="n">
        <f aca="false">IF(AND(M14=0,W14&gt;0,ABS(W14-K14)&gt;0.01),1,0)</f>
        <v>0</v>
      </c>
      <c r="Y14" s="16" t="n">
        <f aca="false">IF(AND(M14=0,W14=0,L14&lt;About!$B$3),1,0)</f>
        <v>0</v>
      </c>
      <c r="Z14" s="16" t="n">
        <f aca="false">M14+SUM(O14:V14)+X14+Y14</f>
        <v>0</v>
      </c>
    </row>
    <row r="15" customFormat="false" ht="15" hidden="false" customHeight="false" outlineLevel="0" collapsed="false">
      <c r="A15" s="2" t="str">
        <f aca="false">Invoices!A15</f>
        <v>INV-10025</v>
      </c>
      <c r="B15" s="2" t="str">
        <f aca="false">Invoices!B15</f>
        <v>MAPLE MAILING SOLUTIONS </v>
      </c>
      <c r="C15" s="2" t="str">
        <f aca="false">IFERROR(INDEX(Vendor_Aliases!$B$2:$B$25,MATCH(UPPER(TRIM(B15)),Vendor_Aliases!$A$2:$A$25,0)),"UNKNOWN")</f>
        <v>V002</v>
      </c>
      <c r="D15" s="2" t="str">
        <f aca="false">IFERROR(INDEX(Vendors!$E$2:$E$11,MATCH(C15,Vendors!$A$2:$A$11,0)),"")</f>
        <v>Active</v>
      </c>
      <c r="E15" s="2" t="str">
        <f aca="false">IF(Invoices!C15="","",Invoices!C15)</f>
        <v>PO-4515</v>
      </c>
      <c r="F15" s="2" t="str">
        <f aca="false">IF(E15="","",IFERROR(INDEX(POs!$B$2:$B$61,MATCH(E15,POs!$A$2:$A$61,0)),"NOT FOUND"))</f>
        <v>V002</v>
      </c>
      <c r="G15" s="14" t="n">
        <f aca="false">IF(E15="","",IFERROR(INDEX(POs!$E$2:$E$61,MATCH(E15,POs!$A$2:$A$61,0)),""))</f>
        <v>18050</v>
      </c>
      <c r="H15" s="15" t="n">
        <f aca="false">Invoices!D15</f>
        <v>46084</v>
      </c>
      <c r="I15" s="14" t="n">
        <f aca="false">Invoices!E15</f>
        <v>17049.81</v>
      </c>
      <c r="J15" s="14" t="n">
        <f aca="false">Invoices!F15</f>
        <v>2216.48</v>
      </c>
      <c r="K15" s="14" t="n">
        <f aca="false">Invoices!G15</f>
        <v>19266.29</v>
      </c>
      <c r="L15" s="15" t="n">
        <f aca="false">IFERROR(H15+INDEX(Vendors!$H$2:$H$11,MATCH(C15,Vendors!$A$2:$A$11,0)),H15+30)</f>
        <v>46114</v>
      </c>
      <c r="M15" s="16" t="n">
        <f aca="false">IF(COUNTIF($A$2:A15,A15)&gt;1,1,0)</f>
        <v>0</v>
      </c>
      <c r="N15" s="14" t="n">
        <f aca="false">IF(E15="","",SUMIFS($I$2:$I$97,$E$2:$E$97,E15,$M$2:$M$97,0))</f>
        <v>17049.81</v>
      </c>
      <c r="O15" s="16" t="n">
        <f aca="false">IF(C15="UNKNOWN",1,0)</f>
        <v>0</v>
      </c>
      <c r="P15" s="16" t="n">
        <f aca="false">IF(E15="",1,0)</f>
        <v>0</v>
      </c>
      <c r="Q15" s="16" t="n">
        <f aca="false">IF(F15="NOT FOUND",1,0)</f>
        <v>0</v>
      </c>
      <c r="R15" s="16" t="n">
        <f aca="false">IF(AND(F15&lt;&gt;"",F15&lt;&gt;"NOT FOUND",F15&lt;&gt;C15),1,0)</f>
        <v>0</v>
      </c>
      <c r="S15" s="16" t="n">
        <f aca="false">IF(AND(M15=0,ISNUMBER(G15),N15&gt;G15),1,0)</f>
        <v>0</v>
      </c>
      <c r="T15" s="16" t="n">
        <f aca="false">IF(ABS(I15+J15-K15)&gt;0.01,1,0)</f>
        <v>0</v>
      </c>
      <c r="U15" s="16" t="n">
        <f aca="false">IFERROR(IF(ABS(J15-ROUND(I15*INDEX(Vendors!$G$2:$G$11,MATCH(C15,Vendors!$A$2:$A$11,0)),2))&gt;0.01,1,0),0)</f>
        <v>0</v>
      </c>
      <c r="V15" s="16" t="n">
        <f aca="false">IF(D15="Inactive",1,0)</f>
        <v>0</v>
      </c>
      <c r="W15" s="14" t="n">
        <f aca="false">SUMIFS(Payments!$D$2:$D$69,Payments!$F$2:$F$69,A15)</f>
        <v>19266.29</v>
      </c>
      <c r="X15" s="16" t="n">
        <f aca="false">IF(AND(M15=0,W15&gt;0,ABS(W15-K15)&gt;0.01),1,0)</f>
        <v>0</v>
      </c>
      <c r="Y15" s="16" t="n">
        <f aca="false">IF(AND(M15=0,W15=0,L15&lt;About!$B$3),1,0)</f>
        <v>0</v>
      </c>
      <c r="Z15" s="16" t="n">
        <f aca="false">M15+SUM(O15:V15)+X15+Y15</f>
        <v>0</v>
      </c>
    </row>
    <row r="16" customFormat="false" ht="15" hidden="false" customHeight="false" outlineLevel="0" collapsed="false">
      <c r="A16" s="2" t="str">
        <f aca="false">Invoices!A16</f>
        <v>INV-10124</v>
      </c>
      <c r="B16" s="2" t="str">
        <f aca="false">Invoices!B16</f>
        <v>Summit Digital Print Inc.</v>
      </c>
      <c r="C16" s="2" t="str">
        <f aca="false">IFERROR(INDEX(Vendor_Aliases!$B$2:$B$25,MATCH(UPPER(TRIM(B16)),Vendor_Aliases!$A$2:$A$25,0)),"UNKNOWN")</f>
        <v>V004</v>
      </c>
      <c r="D16" s="2" t="str">
        <f aca="false">IFERROR(INDEX(Vendors!$E$2:$E$11,MATCH(C16,Vendors!$A$2:$A$11,0)),"")</f>
        <v>Active</v>
      </c>
      <c r="E16" s="2" t="str">
        <f aca="false">IF(Invoices!C16="","",Invoices!C16)</f>
        <v>PO-4594</v>
      </c>
      <c r="F16" s="2" t="str">
        <f aca="false">IF(E16="","",IFERROR(INDEX(POs!$B$2:$B$61,MATCH(E16,POs!$A$2:$A$61,0)),"NOT FOUND"))</f>
        <v>V004</v>
      </c>
      <c r="G16" s="14" t="n">
        <f aca="false">IF(E16="","",IFERROR(INDEX(POs!$E$2:$E$61,MATCH(E16,POs!$A$2:$A$61,0)),""))</f>
        <v>18800</v>
      </c>
      <c r="H16" s="15" t="n">
        <f aca="false">Invoices!D16</f>
        <v>46194</v>
      </c>
      <c r="I16" s="14" t="n">
        <f aca="false">Invoices!E16</f>
        <v>8860.56</v>
      </c>
      <c r="J16" s="14" t="n">
        <f aca="false">Invoices!F16</f>
        <v>1326.87</v>
      </c>
      <c r="K16" s="14" t="n">
        <f aca="false">Invoices!G16</f>
        <v>10187.43</v>
      </c>
      <c r="L16" s="15" t="n">
        <f aca="false">IFERROR(H16+INDEX(Vendors!$H$2:$H$11,MATCH(C16,Vendors!$A$2:$A$11,0)),H16+30)</f>
        <v>46224</v>
      </c>
      <c r="M16" s="16" t="n">
        <f aca="false">IF(COUNTIF($A$2:A16,A16)&gt;1,1,0)</f>
        <v>0</v>
      </c>
      <c r="N16" s="14" t="n">
        <f aca="false">IF(E16="","",SUMIFS($I$2:$I$97,$E$2:$E$97,E16,$M$2:$M$97,0))</f>
        <v>15934.29</v>
      </c>
      <c r="O16" s="16" t="n">
        <f aca="false">IF(C16="UNKNOWN",1,0)</f>
        <v>0</v>
      </c>
      <c r="P16" s="16" t="n">
        <f aca="false">IF(E16="",1,0)</f>
        <v>0</v>
      </c>
      <c r="Q16" s="16" t="n">
        <f aca="false">IF(F16="NOT FOUND",1,0)</f>
        <v>0</v>
      </c>
      <c r="R16" s="16" t="n">
        <f aca="false">IF(AND(F16&lt;&gt;"",F16&lt;&gt;"NOT FOUND",F16&lt;&gt;C16),1,0)</f>
        <v>0</v>
      </c>
      <c r="S16" s="16" t="n">
        <f aca="false">IF(AND(M16=0,ISNUMBER(G16),N16&gt;G16),1,0)</f>
        <v>0</v>
      </c>
      <c r="T16" s="16" t="n">
        <f aca="false">IF(ABS(I16+J16-K16)&gt;0.01,1,0)</f>
        <v>0</v>
      </c>
      <c r="U16" s="16" t="n">
        <f aca="false">IFERROR(IF(ABS(J16-ROUND(I16*INDEX(Vendors!$G$2:$G$11,MATCH(C16,Vendors!$A$2:$A$11,0)),2))&gt;0.01,1,0),0)</f>
        <v>0</v>
      </c>
      <c r="V16" s="16" t="n">
        <f aca="false">IF(D16="Inactive",1,0)</f>
        <v>0</v>
      </c>
      <c r="W16" s="14" t="n">
        <f aca="false">SUMIFS(Payments!$D$2:$D$69,Payments!$F$2:$F$69,A16)</f>
        <v>10187.43</v>
      </c>
      <c r="X16" s="16" t="n">
        <f aca="false">IF(AND(M16=0,W16&gt;0,ABS(W16-K16)&gt;0.01),1,0)</f>
        <v>0</v>
      </c>
      <c r="Y16" s="16" t="n">
        <f aca="false">IF(AND(M16=0,W16=0,L16&lt;About!$B$3),1,0)</f>
        <v>0</v>
      </c>
      <c r="Z16" s="16" t="n">
        <f aca="false">M16+SUM(O16:V16)+X16+Y16</f>
        <v>0</v>
      </c>
    </row>
    <row r="17" customFormat="false" ht="15" hidden="false" customHeight="false" outlineLevel="0" collapsed="false">
      <c r="A17" s="2" t="str">
        <f aca="false">Invoices!A17</f>
        <v>INV-10087</v>
      </c>
      <c r="B17" s="2" t="str">
        <f aca="false">Invoices!B17</f>
        <v>Summit Digital Print</v>
      </c>
      <c r="C17" s="2" t="str">
        <f aca="false">IFERROR(INDEX(Vendor_Aliases!$B$2:$B$25,MATCH(UPPER(TRIM(B17)),Vendor_Aliases!$A$2:$A$25,0)),"UNKNOWN")</f>
        <v>V004</v>
      </c>
      <c r="D17" s="2" t="str">
        <f aca="false">IFERROR(INDEX(Vendors!$E$2:$E$11,MATCH(C17,Vendors!$A$2:$A$11,0)),"")</f>
        <v>Active</v>
      </c>
      <c r="E17" s="2" t="str">
        <f aca="false">IF(Invoices!C17="","",Invoices!C17)</f>
        <v>PO-4560</v>
      </c>
      <c r="F17" s="2" t="str">
        <f aca="false">IF(E17="","",IFERROR(INDEX(POs!$B$2:$B$61,MATCH(E17,POs!$A$2:$A$61,0)),"NOT FOUND"))</f>
        <v>V004</v>
      </c>
      <c r="G17" s="14" t="n">
        <f aca="false">IF(E17="","",IFERROR(INDEX(POs!$E$2:$E$61,MATCH(E17,POs!$A$2:$A$61,0)),""))</f>
        <v>3700</v>
      </c>
      <c r="H17" s="15" t="n">
        <f aca="false">Invoices!D17</f>
        <v>46075</v>
      </c>
      <c r="I17" s="14" t="n">
        <f aca="false">Invoices!E17</f>
        <v>1748.4</v>
      </c>
      <c r="J17" s="14" t="n">
        <f aca="false">Invoices!F17</f>
        <v>261.82</v>
      </c>
      <c r="K17" s="14" t="n">
        <f aca="false">Invoices!G17</f>
        <v>2010.22</v>
      </c>
      <c r="L17" s="15" t="n">
        <f aca="false">IFERROR(H17+INDEX(Vendors!$H$2:$H$11,MATCH(C17,Vendors!$A$2:$A$11,0)),H17+30)</f>
        <v>46105</v>
      </c>
      <c r="M17" s="16" t="n">
        <f aca="false">IF(COUNTIF($A$2:A17,A17)&gt;1,1,0)</f>
        <v>0</v>
      </c>
      <c r="N17" s="14" t="n">
        <f aca="false">IF(E17="","",SUMIFS($I$2:$I$97,$E$2:$E$97,E17,$M$2:$M$97,0))</f>
        <v>3040.6</v>
      </c>
      <c r="O17" s="16" t="n">
        <f aca="false">IF(C17="UNKNOWN",1,0)</f>
        <v>0</v>
      </c>
      <c r="P17" s="16" t="n">
        <f aca="false">IF(E17="",1,0)</f>
        <v>0</v>
      </c>
      <c r="Q17" s="16" t="n">
        <f aca="false">IF(F17="NOT FOUND",1,0)</f>
        <v>0</v>
      </c>
      <c r="R17" s="16" t="n">
        <f aca="false">IF(AND(F17&lt;&gt;"",F17&lt;&gt;"NOT FOUND",F17&lt;&gt;C17),1,0)</f>
        <v>0</v>
      </c>
      <c r="S17" s="16" t="n">
        <f aca="false">IF(AND(M17=0,ISNUMBER(G17),N17&gt;G17),1,0)</f>
        <v>0</v>
      </c>
      <c r="T17" s="16" t="n">
        <f aca="false">IF(ABS(I17+J17-K17)&gt;0.01,1,0)</f>
        <v>0</v>
      </c>
      <c r="U17" s="16" t="n">
        <f aca="false">IFERROR(IF(ABS(J17-ROUND(I17*INDEX(Vendors!$G$2:$G$11,MATCH(C17,Vendors!$A$2:$A$11,0)),2))&gt;0.01,1,0),0)</f>
        <v>0</v>
      </c>
      <c r="V17" s="16" t="n">
        <f aca="false">IF(D17="Inactive",1,0)</f>
        <v>0</v>
      </c>
      <c r="W17" s="14" t="n">
        <f aca="false">SUMIFS(Payments!$D$2:$D$69,Payments!$F$2:$F$69,A17)</f>
        <v>2010.22</v>
      </c>
      <c r="X17" s="16" t="n">
        <f aca="false">IF(AND(M17=0,W17&gt;0,ABS(W17-K17)&gt;0.01),1,0)</f>
        <v>0</v>
      </c>
      <c r="Y17" s="16" t="n">
        <f aca="false">IF(AND(M17=0,W17=0,L17&lt;About!$B$3),1,0)</f>
        <v>0</v>
      </c>
      <c r="Z17" s="16" t="n">
        <f aca="false">M17+SUM(O17:V17)+X17+Y17</f>
        <v>0</v>
      </c>
    </row>
    <row r="18" customFormat="false" ht="15" hidden="false" customHeight="false" outlineLevel="0" collapsed="false">
      <c r="A18" s="2" t="str">
        <f aca="false">Invoices!A18</f>
        <v>INV-10023</v>
      </c>
      <c r="B18" s="2" t="str">
        <f aca="false">Invoices!B18</f>
        <v>MAPLE MAILING SOLUTIONS </v>
      </c>
      <c r="C18" s="2" t="str">
        <f aca="false">IFERROR(INDEX(Vendor_Aliases!$B$2:$B$25,MATCH(UPPER(TRIM(B18)),Vendor_Aliases!$A$2:$A$25,0)),"UNKNOWN")</f>
        <v>V002</v>
      </c>
      <c r="D18" s="2" t="str">
        <f aca="false">IFERROR(INDEX(Vendors!$E$2:$E$11,MATCH(C18,Vendors!$A$2:$A$11,0)),"")</f>
        <v>Active</v>
      </c>
      <c r="E18" s="2" t="str">
        <f aca="false">IF(Invoices!C18="","",Invoices!C18)</f>
        <v>PO-4511</v>
      </c>
      <c r="F18" s="2" t="str">
        <f aca="false">IF(E18="","",IFERROR(INDEX(POs!$B$2:$B$61,MATCH(E18,POs!$A$2:$A$61,0)),"NOT FOUND"))</f>
        <v>V002</v>
      </c>
      <c r="G18" s="14" t="n">
        <f aca="false">IF(E18="","",IFERROR(INDEX(POs!$E$2:$E$61,MATCH(E18,POs!$A$2:$A$61,0)),""))</f>
        <v>3100</v>
      </c>
      <c r="H18" s="15" t="n">
        <f aca="false">Invoices!D18</f>
        <v>46268</v>
      </c>
      <c r="I18" s="14" t="n">
        <f aca="false">Invoices!E18</f>
        <v>1612</v>
      </c>
      <c r="J18" s="14" t="n">
        <f aca="false">Invoices!F18</f>
        <v>209.56</v>
      </c>
      <c r="K18" s="14" t="n">
        <f aca="false">Invoices!G18</f>
        <v>1821.56</v>
      </c>
      <c r="L18" s="15" t="n">
        <f aca="false">IFERROR(H18+INDEX(Vendors!$H$2:$H$11,MATCH(C18,Vendors!$A$2:$A$11,0)),H18+30)</f>
        <v>46298</v>
      </c>
      <c r="M18" s="16" t="n">
        <f aca="false">IF(COUNTIF($A$2:A18,A18)&gt;1,1,0)</f>
        <v>0</v>
      </c>
      <c r="N18" s="14" t="n">
        <f aca="false">IF(E18="","",SUMIFS($I$2:$I$97,$E$2:$E$97,E18,$M$2:$M$97,0))</f>
        <v>3627</v>
      </c>
      <c r="O18" s="16" t="n">
        <f aca="false">IF(C18="UNKNOWN",1,0)</f>
        <v>0</v>
      </c>
      <c r="P18" s="16" t="n">
        <f aca="false">IF(E18="",1,0)</f>
        <v>0</v>
      </c>
      <c r="Q18" s="16" t="n">
        <f aca="false">IF(F18="NOT FOUND",1,0)</f>
        <v>0</v>
      </c>
      <c r="R18" s="16" t="n">
        <f aca="false">IF(AND(F18&lt;&gt;"",F18&lt;&gt;"NOT FOUND",F18&lt;&gt;C18),1,0)</f>
        <v>0</v>
      </c>
      <c r="S18" s="16" t="n">
        <f aca="false">IF(AND(M18=0,ISNUMBER(G18),N18&gt;G18),1,0)</f>
        <v>1</v>
      </c>
      <c r="T18" s="16" t="n">
        <f aca="false">IF(ABS(I18+J18-K18)&gt;0.01,1,0)</f>
        <v>0</v>
      </c>
      <c r="U18" s="16" t="n">
        <f aca="false">IFERROR(IF(ABS(J18-ROUND(I18*INDEX(Vendors!$G$2:$G$11,MATCH(C18,Vendors!$A$2:$A$11,0)),2))&gt;0.01,1,0),0)</f>
        <v>0</v>
      </c>
      <c r="V18" s="16" t="n">
        <f aca="false">IF(D18="Inactive",1,0)</f>
        <v>0</v>
      </c>
      <c r="W18" s="14" t="n">
        <f aca="false">SUMIFS(Payments!$D$2:$D$69,Payments!$F$2:$F$69,A18)</f>
        <v>1821.56</v>
      </c>
      <c r="X18" s="16" t="n">
        <f aca="false">IF(AND(M18=0,W18&gt;0,ABS(W18-K18)&gt;0.01),1,0)</f>
        <v>0</v>
      </c>
      <c r="Y18" s="16" t="n">
        <f aca="false">IF(AND(M18=0,W18=0,L18&lt;About!$B$3),1,0)</f>
        <v>0</v>
      </c>
      <c r="Z18" s="16" t="n">
        <f aca="false">M18+SUM(O18:V18)+X18+Y18</f>
        <v>1</v>
      </c>
    </row>
    <row r="19" customFormat="false" ht="15" hidden="false" customHeight="false" outlineLevel="0" collapsed="false">
      <c r="A19" s="2" t="str">
        <f aca="false">Invoices!A19</f>
        <v>INV-10152</v>
      </c>
      <c r="B19" s="2" t="str">
        <f aca="false">Invoices!B19</f>
        <v>Harbourview Postage</v>
      </c>
      <c r="C19" s="2" t="str">
        <f aca="false">IFERROR(INDEX(Vendor_Aliases!$B$2:$B$25,MATCH(UPPER(TRIM(B19)),Vendor_Aliases!$A$2:$A$25,0)),"UNKNOWN")</f>
        <v>V005</v>
      </c>
      <c r="D19" s="2" t="str">
        <f aca="false">IFERROR(INDEX(Vendors!$E$2:$E$11,MATCH(C19,Vendors!$A$2:$A$11,0)),"")</f>
        <v>Active</v>
      </c>
      <c r="E19" s="2" t="str">
        <f aca="false">IF(Invoices!C19="","",Invoices!C19)</f>
        <v>PO-4612</v>
      </c>
      <c r="F19" s="2" t="str">
        <f aca="false">IF(E19="","",IFERROR(INDEX(POs!$B$2:$B$61,MATCH(E19,POs!$A$2:$A$61,0)),"NOT FOUND"))</f>
        <v>V005</v>
      </c>
      <c r="G19" s="14" t="n">
        <f aca="false">IF(E19="","",IFERROR(INDEX(POs!$E$2:$E$61,MATCH(E19,POs!$A$2:$A$61,0)),""))</f>
        <v>18300</v>
      </c>
      <c r="H19" s="15" t="n">
        <f aca="false">Invoices!D19</f>
        <v>46049</v>
      </c>
      <c r="I19" s="14" t="n">
        <f aca="false">Invoices!E19</f>
        <v>8675.72</v>
      </c>
      <c r="J19" s="14" t="n">
        <f aca="false">Invoices!F19</f>
        <v>1127.84</v>
      </c>
      <c r="K19" s="14" t="n">
        <f aca="false">Invoices!G19</f>
        <v>9803.56</v>
      </c>
      <c r="L19" s="15" t="n">
        <f aca="false">IFERROR(H19+INDEX(Vendors!$H$2:$H$11,MATCH(C19,Vendors!$A$2:$A$11,0)),H19+30)</f>
        <v>46064</v>
      </c>
      <c r="M19" s="16" t="n">
        <f aca="false">IF(COUNTIF($A$2:A19,A19)&gt;1,1,0)</f>
        <v>0</v>
      </c>
      <c r="N19" s="14" t="n">
        <f aca="false">IF(E19="","",SUMIFS($I$2:$I$97,$E$2:$E$97,E19,$M$2:$M$97,0))</f>
        <v>14908.12</v>
      </c>
      <c r="O19" s="16" t="n">
        <f aca="false">IF(C19="UNKNOWN",1,0)</f>
        <v>0</v>
      </c>
      <c r="P19" s="16" t="n">
        <f aca="false">IF(E19="",1,0)</f>
        <v>0</v>
      </c>
      <c r="Q19" s="16" t="n">
        <f aca="false">IF(F19="NOT FOUND",1,0)</f>
        <v>0</v>
      </c>
      <c r="R19" s="16" t="n">
        <f aca="false">IF(AND(F19&lt;&gt;"",F19&lt;&gt;"NOT FOUND",F19&lt;&gt;C19),1,0)</f>
        <v>0</v>
      </c>
      <c r="S19" s="16" t="n">
        <f aca="false">IF(AND(M19=0,ISNUMBER(G19),N19&gt;G19),1,0)</f>
        <v>0</v>
      </c>
      <c r="T19" s="16" t="n">
        <f aca="false">IF(ABS(I19+J19-K19)&gt;0.01,1,0)</f>
        <v>0</v>
      </c>
      <c r="U19" s="16" t="n">
        <f aca="false">IFERROR(IF(ABS(J19-ROUND(I19*INDEX(Vendors!$G$2:$G$11,MATCH(C19,Vendors!$A$2:$A$11,0)),2))&gt;0.01,1,0),0)</f>
        <v>0</v>
      </c>
      <c r="V19" s="16" t="n">
        <f aca="false">IF(D19="Inactive",1,0)</f>
        <v>0</v>
      </c>
      <c r="W19" s="14" t="n">
        <f aca="false">SUMIFS(Payments!$D$2:$D$69,Payments!$F$2:$F$69,A19)</f>
        <v>0</v>
      </c>
      <c r="X19" s="16" t="n">
        <f aca="false">IF(AND(M19=0,W19&gt;0,ABS(W19-K19)&gt;0.01),1,0)</f>
        <v>0</v>
      </c>
      <c r="Y19" s="16" t="n">
        <f aca="false">IF(AND(M19=0,W19=0,L19&lt;About!$B$3),1,0)</f>
        <v>1</v>
      </c>
      <c r="Z19" s="16" t="n">
        <f aca="false">M19+SUM(O19:V19)+X19+Y19</f>
        <v>1</v>
      </c>
    </row>
    <row r="20" customFormat="false" ht="15" hidden="false" customHeight="false" outlineLevel="0" collapsed="false">
      <c r="A20" s="2" t="str">
        <f aca="false">Invoices!A20</f>
        <v>INV-10036</v>
      </c>
      <c r="B20" s="2" t="str">
        <f aca="false">Invoices!B20</f>
        <v>SUMMIT DIGITAL PRINT INC.</v>
      </c>
      <c r="C20" s="2" t="str">
        <f aca="false">IFERROR(INDEX(Vendor_Aliases!$B$2:$B$25,MATCH(UPPER(TRIM(B20)),Vendor_Aliases!$A$2:$A$25,0)),"UNKNOWN")</f>
        <v>V004</v>
      </c>
      <c r="D20" s="2" t="str">
        <f aca="false">IFERROR(INDEX(Vendors!$E$2:$E$11,MATCH(C20,Vendors!$A$2:$A$11,0)),"")</f>
        <v>Active</v>
      </c>
      <c r="E20" s="2" t="str">
        <f aca="false">IF(Invoices!C20="","",Invoices!C20)</f>
        <v>PO-4524</v>
      </c>
      <c r="F20" s="2" t="str">
        <f aca="false">IF(E20="","",IFERROR(INDEX(POs!$B$2:$B$61,MATCH(E20,POs!$A$2:$A$61,0)),"NOT FOUND"))</f>
        <v>V004</v>
      </c>
      <c r="G20" s="14" t="n">
        <f aca="false">IF(E20="","",IFERROR(INDEX(POs!$E$2:$E$61,MATCH(E20,POs!$A$2:$A$61,0)),""))</f>
        <v>18350</v>
      </c>
      <c r="H20" s="15" t="n">
        <f aca="false">Invoices!D20</f>
        <v>46162</v>
      </c>
      <c r="I20" s="14" t="n">
        <f aca="false">Invoices!E20</f>
        <v>6664.88</v>
      </c>
      <c r="J20" s="14" t="n">
        <f aca="false">Invoices!F20</f>
        <v>998.07</v>
      </c>
      <c r="K20" s="14" t="n">
        <f aca="false">Invoices!G20</f>
        <v>7662.95</v>
      </c>
      <c r="L20" s="15" t="n">
        <f aca="false">IFERROR(H20+INDEX(Vendors!$H$2:$H$11,MATCH(C20,Vendors!$A$2:$A$11,0)),H20+30)</f>
        <v>46192</v>
      </c>
      <c r="M20" s="16" t="n">
        <f aca="false">IF(COUNTIF($A$2:A20,A20)&gt;1,1,0)</f>
        <v>0</v>
      </c>
      <c r="N20" s="14" t="n">
        <f aca="false">IF(E20="","",SUMIFS($I$2:$I$97,$E$2:$E$97,E20,$M$2:$M$97,0))</f>
        <v>15727.5</v>
      </c>
      <c r="O20" s="16" t="n">
        <f aca="false">IF(C20="UNKNOWN",1,0)</f>
        <v>0</v>
      </c>
      <c r="P20" s="16" t="n">
        <f aca="false">IF(E20="",1,0)</f>
        <v>0</v>
      </c>
      <c r="Q20" s="16" t="n">
        <f aca="false">IF(F20="NOT FOUND",1,0)</f>
        <v>0</v>
      </c>
      <c r="R20" s="16" t="n">
        <f aca="false">IF(AND(F20&lt;&gt;"",F20&lt;&gt;"NOT FOUND",F20&lt;&gt;C20),1,0)</f>
        <v>0</v>
      </c>
      <c r="S20" s="16" t="n">
        <f aca="false">IF(AND(M20=0,ISNUMBER(G20),N20&gt;G20),1,0)</f>
        <v>0</v>
      </c>
      <c r="T20" s="16" t="n">
        <f aca="false">IF(ABS(I20+J20-K20)&gt;0.01,1,0)</f>
        <v>0</v>
      </c>
      <c r="U20" s="16" t="n">
        <f aca="false">IFERROR(IF(ABS(J20-ROUND(I20*INDEX(Vendors!$G$2:$G$11,MATCH(C20,Vendors!$A$2:$A$11,0)),2))&gt;0.01,1,0),0)</f>
        <v>0</v>
      </c>
      <c r="V20" s="16" t="n">
        <f aca="false">IF(D20="Inactive",1,0)</f>
        <v>0</v>
      </c>
      <c r="W20" s="14" t="n">
        <f aca="false">SUMIFS(Payments!$D$2:$D$69,Payments!$F$2:$F$69,A20)</f>
        <v>7662.95</v>
      </c>
      <c r="X20" s="16" t="n">
        <f aca="false">IF(AND(M20=0,W20&gt;0,ABS(W20-K20)&gt;0.01),1,0)</f>
        <v>0</v>
      </c>
      <c r="Y20" s="16" t="n">
        <f aca="false">IF(AND(M20=0,W20=0,L20&lt;About!$B$3),1,0)</f>
        <v>0</v>
      </c>
      <c r="Z20" s="16" t="n">
        <f aca="false">M20+SUM(O20:V20)+X20+Y20</f>
        <v>0</v>
      </c>
    </row>
    <row r="21" customFormat="false" ht="15" hidden="false" customHeight="false" outlineLevel="0" collapsed="false">
      <c r="A21" s="2" t="str">
        <f aca="false">Invoices!A21</f>
        <v>INV-10170</v>
      </c>
      <c r="B21" s="2" t="str">
        <f aca="false">Invoices!B21</f>
        <v>Maple Mailing Solutions</v>
      </c>
      <c r="C21" s="2" t="str">
        <f aca="false">IFERROR(INDEX(Vendor_Aliases!$B$2:$B$25,MATCH(UPPER(TRIM(B21)),Vendor_Aliases!$A$2:$A$25,0)),"UNKNOWN")</f>
        <v>V002</v>
      </c>
      <c r="D21" s="2" t="str">
        <f aca="false">IFERROR(INDEX(Vendors!$E$2:$E$11,MATCH(C21,Vendors!$A$2:$A$11,0)),"")</f>
        <v>Active</v>
      </c>
      <c r="E21" s="2" t="str">
        <f aca="false">IF(Invoices!C21="","",Invoices!C21)</f>
        <v>PO-4623</v>
      </c>
      <c r="F21" s="2" t="str">
        <f aca="false">IF(E21="","",IFERROR(INDEX(POs!$B$2:$B$61,MATCH(E21,POs!$A$2:$A$61,0)),"NOT FOUND"))</f>
        <v>V002</v>
      </c>
      <c r="G21" s="14" t="n">
        <f aca="false">IF(E21="","",IFERROR(INDEX(POs!$E$2:$E$61,MATCH(E21,POs!$A$2:$A$61,0)),""))</f>
        <v>17850</v>
      </c>
      <c r="H21" s="15" t="n">
        <f aca="false">Invoices!D21</f>
        <v>46250</v>
      </c>
      <c r="I21" s="14" t="n">
        <f aca="false">Invoices!E21</f>
        <v>6522.56</v>
      </c>
      <c r="J21" s="14" t="n">
        <f aca="false">Invoices!F21</f>
        <v>847.93</v>
      </c>
      <c r="K21" s="14" t="n">
        <f aca="false">Invoices!G21</f>
        <v>7330.49</v>
      </c>
      <c r="L21" s="15" t="n">
        <f aca="false">IFERROR(H21+INDEX(Vendors!$H$2:$H$11,MATCH(C21,Vendors!$A$2:$A$11,0)),H21+30)</f>
        <v>46280</v>
      </c>
      <c r="M21" s="16" t="n">
        <f aca="false">IF(COUNTIF($A$2:A21,A21)&gt;1,1,0)</f>
        <v>0</v>
      </c>
      <c r="N21" s="14" t="n">
        <f aca="false">IF(E21="","",SUMIFS($I$2:$I$97,$E$2:$E$97,E21,$M$2:$M$97,0))</f>
        <v>14796.52</v>
      </c>
      <c r="O21" s="16" t="n">
        <f aca="false">IF(C21="UNKNOWN",1,0)</f>
        <v>0</v>
      </c>
      <c r="P21" s="16" t="n">
        <f aca="false">IF(E21="",1,0)</f>
        <v>0</v>
      </c>
      <c r="Q21" s="16" t="n">
        <f aca="false">IF(F21="NOT FOUND",1,0)</f>
        <v>0</v>
      </c>
      <c r="R21" s="16" t="n">
        <f aca="false">IF(AND(F21&lt;&gt;"",F21&lt;&gt;"NOT FOUND",F21&lt;&gt;C21),1,0)</f>
        <v>0</v>
      </c>
      <c r="S21" s="16" t="n">
        <f aca="false">IF(AND(M21=0,ISNUMBER(G21),N21&gt;G21),1,0)</f>
        <v>0</v>
      </c>
      <c r="T21" s="16" t="n">
        <f aca="false">IF(ABS(I21+J21-K21)&gt;0.01,1,0)</f>
        <v>1</v>
      </c>
      <c r="U21" s="16" t="n">
        <f aca="false">IFERROR(IF(ABS(J21-ROUND(I21*INDEX(Vendors!$G$2:$G$11,MATCH(C21,Vendors!$A$2:$A$11,0)),2))&gt;0.01,1,0),0)</f>
        <v>0</v>
      </c>
      <c r="V21" s="16" t="n">
        <f aca="false">IF(D21="Inactive",1,0)</f>
        <v>0</v>
      </c>
      <c r="W21" s="14" t="n">
        <f aca="false">SUMIFS(Payments!$D$2:$D$69,Payments!$F$2:$F$69,A21)</f>
        <v>7330.49</v>
      </c>
      <c r="X21" s="16" t="n">
        <f aca="false">IF(AND(M21=0,W21&gt;0,ABS(W21-K21)&gt;0.01),1,0)</f>
        <v>0</v>
      </c>
      <c r="Y21" s="16" t="n">
        <f aca="false">IF(AND(M21=0,W21=0,L21&lt;About!$B$3),1,0)</f>
        <v>0</v>
      </c>
      <c r="Z21" s="16" t="n">
        <f aca="false">M21+SUM(O21:V21)+X21+Y21</f>
        <v>1</v>
      </c>
    </row>
    <row r="22" customFormat="false" ht="15" hidden="false" customHeight="false" outlineLevel="0" collapsed="false">
      <c r="A22" s="2" t="str">
        <f aca="false">Invoices!A22</f>
        <v>INV-10006</v>
      </c>
      <c r="B22" s="2" t="str">
        <f aca="false">Invoices!B22</f>
        <v>Redwood Docs</v>
      </c>
      <c r="C22" s="2" t="str">
        <f aca="false">IFERROR(INDEX(Vendor_Aliases!$B$2:$B$25,MATCH(UPPER(TRIM(B22)),Vendor_Aliases!$A$2:$A$25,0)),"UNKNOWN")</f>
        <v>V007</v>
      </c>
      <c r="D22" s="2" t="str">
        <f aca="false">IFERROR(INDEX(Vendors!$E$2:$E$11,MATCH(C22,Vendors!$A$2:$A$11,0)),"")</f>
        <v>Inactive</v>
      </c>
      <c r="E22" s="2" t="str">
        <f aca="false">IF(Invoices!C22="","",Invoices!C22)</f>
        <v>PO-4502</v>
      </c>
      <c r="F22" s="2" t="str">
        <f aca="false">IF(E22="","",IFERROR(INDEX(POs!$B$2:$B$61,MATCH(E22,POs!$A$2:$A$61,0)),"NOT FOUND"))</f>
        <v>V007</v>
      </c>
      <c r="G22" s="14" t="n">
        <f aca="false">IF(E22="","",IFERROR(INDEX(POs!$E$2:$E$61,MATCH(E22,POs!$A$2:$A$61,0)),""))</f>
        <v>17100</v>
      </c>
      <c r="H22" s="15" t="n">
        <f aca="false">Invoices!D22</f>
        <v>46238</v>
      </c>
      <c r="I22" s="14" t="n">
        <f aca="false">Invoices!E22</f>
        <v>7789.46</v>
      </c>
      <c r="J22" s="14" t="n">
        <f aca="false">Invoices!F22</f>
        <v>934.74</v>
      </c>
      <c r="K22" s="14" t="n">
        <f aca="false">Invoices!G22</f>
        <v>8724.2</v>
      </c>
      <c r="L22" s="15" t="n">
        <f aca="false">IFERROR(H22+INDEX(Vendors!$H$2:$H$11,MATCH(C22,Vendors!$A$2:$A$11,0)),H22+30)</f>
        <v>46268</v>
      </c>
      <c r="M22" s="16" t="n">
        <f aca="false">IF(COUNTIF($A$2:A22,A22)&gt;1,1,0)</f>
        <v>0</v>
      </c>
      <c r="N22" s="14" t="n">
        <f aca="false">IF(E22="","",SUMIFS($I$2:$I$97,$E$2:$E$97,E22,$M$2:$M$97,0))</f>
        <v>14261.19</v>
      </c>
      <c r="O22" s="16" t="n">
        <f aca="false">IF(C22="UNKNOWN",1,0)</f>
        <v>0</v>
      </c>
      <c r="P22" s="16" t="n">
        <f aca="false">IF(E22="",1,0)</f>
        <v>0</v>
      </c>
      <c r="Q22" s="16" t="n">
        <f aca="false">IF(F22="NOT FOUND",1,0)</f>
        <v>0</v>
      </c>
      <c r="R22" s="16" t="n">
        <f aca="false">IF(AND(F22&lt;&gt;"",F22&lt;&gt;"NOT FOUND",F22&lt;&gt;C22),1,0)</f>
        <v>0</v>
      </c>
      <c r="S22" s="16" t="n">
        <f aca="false">IF(AND(M22=0,ISNUMBER(G22),N22&gt;G22),1,0)</f>
        <v>0</v>
      </c>
      <c r="T22" s="16" t="n">
        <f aca="false">IF(ABS(I22+J22-K22)&gt;0.01,1,0)</f>
        <v>0</v>
      </c>
      <c r="U22" s="16" t="n">
        <f aca="false">IFERROR(IF(ABS(J22-ROUND(I22*INDEX(Vendors!$G$2:$G$11,MATCH(C22,Vendors!$A$2:$A$11,0)),2))&gt;0.01,1,0),0)</f>
        <v>0</v>
      </c>
      <c r="V22" s="16" t="n">
        <f aca="false">IF(D22="Inactive",1,0)</f>
        <v>1</v>
      </c>
      <c r="W22" s="14" t="n">
        <f aca="false">SUMIFS(Payments!$D$2:$D$69,Payments!$F$2:$F$69,A22)</f>
        <v>8724.2</v>
      </c>
      <c r="X22" s="16" t="n">
        <f aca="false">IF(AND(M22=0,W22&gt;0,ABS(W22-K22)&gt;0.01),1,0)</f>
        <v>0</v>
      </c>
      <c r="Y22" s="16" t="n">
        <f aca="false">IF(AND(M22=0,W22=0,L22&lt;About!$B$3),1,0)</f>
        <v>0</v>
      </c>
      <c r="Z22" s="16" t="n">
        <f aca="false">M22+SUM(O22:V22)+X22+Y22</f>
        <v>1</v>
      </c>
    </row>
    <row r="23" customFormat="false" ht="15" hidden="false" customHeight="false" outlineLevel="0" collapsed="false">
      <c r="A23" s="2" t="str">
        <f aca="false">Invoices!A23</f>
        <v>INV-10034</v>
      </c>
      <c r="B23" s="2" t="str">
        <f aca="false">Invoices!B23</f>
        <v>Summit Digital Print Inc.</v>
      </c>
      <c r="C23" s="2" t="str">
        <f aca="false">IFERROR(INDEX(Vendor_Aliases!$B$2:$B$25,MATCH(UPPER(TRIM(B23)),Vendor_Aliases!$A$2:$A$25,0)),"UNKNOWN")</f>
        <v>V004</v>
      </c>
      <c r="D23" s="2" t="str">
        <f aca="false">IFERROR(INDEX(Vendors!$E$2:$E$11,MATCH(C23,Vendors!$A$2:$A$11,0)),"")</f>
        <v>Active</v>
      </c>
      <c r="E23" s="2" t="str">
        <f aca="false">IF(Invoices!C23="","",Invoices!C23)</f>
        <v>PO-4524</v>
      </c>
      <c r="F23" s="2" t="str">
        <f aca="false">IF(E23="","",IFERROR(INDEX(POs!$B$2:$B$61,MATCH(E23,POs!$A$2:$A$61,0)),"NOT FOUND"))</f>
        <v>V004</v>
      </c>
      <c r="G23" s="14" t="n">
        <f aca="false">IF(E23="","",IFERROR(INDEX(POs!$E$2:$E$61,MATCH(E23,POs!$A$2:$A$61,0)),""))</f>
        <v>18350</v>
      </c>
      <c r="H23" s="15" t="n">
        <f aca="false">Invoices!D23</f>
        <v>46154</v>
      </c>
      <c r="I23" s="14" t="n">
        <f aca="false">Invoices!E23</f>
        <v>9062.62</v>
      </c>
      <c r="J23" s="14" t="n">
        <f aca="false">Invoices!F23</f>
        <v>1357.13</v>
      </c>
      <c r="K23" s="14" t="n">
        <f aca="false">Invoices!G23</f>
        <v>10419.75</v>
      </c>
      <c r="L23" s="15" t="n">
        <f aca="false">IFERROR(H23+INDEX(Vendors!$H$2:$H$11,MATCH(C23,Vendors!$A$2:$A$11,0)),H23+30)</f>
        <v>46184</v>
      </c>
      <c r="M23" s="16" t="n">
        <f aca="false">IF(COUNTIF($A$2:A23,A23)&gt;1,1,0)</f>
        <v>0</v>
      </c>
      <c r="N23" s="14" t="n">
        <f aca="false">IF(E23="","",SUMIFS($I$2:$I$97,$E$2:$E$97,E23,$M$2:$M$97,0))</f>
        <v>15727.5</v>
      </c>
      <c r="O23" s="16" t="n">
        <f aca="false">IF(C23="UNKNOWN",1,0)</f>
        <v>0</v>
      </c>
      <c r="P23" s="16" t="n">
        <f aca="false">IF(E23="",1,0)</f>
        <v>0</v>
      </c>
      <c r="Q23" s="16" t="n">
        <f aca="false">IF(F23="NOT FOUND",1,0)</f>
        <v>0</v>
      </c>
      <c r="R23" s="16" t="n">
        <f aca="false">IF(AND(F23&lt;&gt;"",F23&lt;&gt;"NOT FOUND",F23&lt;&gt;C23),1,0)</f>
        <v>0</v>
      </c>
      <c r="S23" s="16" t="n">
        <f aca="false">IF(AND(M23=0,ISNUMBER(G23),N23&gt;G23),1,0)</f>
        <v>0</v>
      </c>
      <c r="T23" s="16" t="n">
        <f aca="false">IF(ABS(I23+J23-K23)&gt;0.01,1,0)</f>
        <v>0</v>
      </c>
      <c r="U23" s="16" t="n">
        <f aca="false">IFERROR(IF(ABS(J23-ROUND(I23*INDEX(Vendors!$G$2:$G$11,MATCH(C23,Vendors!$A$2:$A$11,0)),2))&gt;0.01,1,0),0)</f>
        <v>0</v>
      </c>
      <c r="V23" s="16" t="n">
        <f aca="false">IF(D23="Inactive",1,0)</f>
        <v>0</v>
      </c>
      <c r="W23" s="14" t="n">
        <f aca="false">SUMIFS(Payments!$D$2:$D$69,Payments!$F$2:$F$69,A23)</f>
        <v>0</v>
      </c>
      <c r="X23" s="16" t="n">
        <f aca="false">IF(AND(M23=0,W23&gt;0,ABS(W23-K23)&gt;0.01),1,0)</f>
        <v>0</v>
      </c>
      <c r="Y23" s="16" t="n">
        <f aca="false">IF(AND(M23=0,W23=0,L23&lt;About!$B$3),1,0)</f>
        <v>1</v>
      </c>
      <c r="Z23" s="16" t="n">
        <f aca="false">M23+SUM(O23:V23)+X23+Y23</f>
        <v>1</v>
      </c>
    </row>
    <row r="24" customFormat="false" ht="15" hidden="false" customHeight="false" outlineLevel="0" collapsed="false">
      <c r="A24" s="2" t="str">
        <f aca="false">Invoices!A24</f>
        <v>INV-10131</v>
      </c>
      <c r="B24" s="2" t="str">
        <f aca="false">Invoices!B24</f>
        <v>lakeshore envelope co.</v>
      </c>
      <c r="C24" s="2" t="str">
        <f aca="false">IFERROR(INDEX(Vendor_Aliases!$B$2:$B$25,MATCH(UPPER(TRIM(B24)),Vendor_Aliases!$A$2:$A$25,0)),"UNKNOWN")</f>
        <v>V003</v>
      </c>
      <c r="D24" s="2" t="str">
        <f aca="false">IFERROR(INDEX(Vendors!$E$2:$E$11,MATCH(C24,Vendors!$A$2:$A$11,0)),"")</f>
        <v>Active</v>
      </c>
      <c r="E24" s="2" t="str">
        <f aca="false">IF(Invoices!C24="","",Invoices!C24)</f>
        <v/>
      </c>
      <c r="F24" s="2" t="str">
        <f aca="false">IF(E24="","",IFERROR(INDEX(POs!$B$2:$B$61,MATCH(E24,POs!$A$2:$A$61,0)),"NOT FOUND"))</f>
        <v/>
      </c>
      <c r="G24" s="14" t="str">
        <f aca="false">IF(E24="","",IFERROR(INDEX(POs!$E$2:$E$61,MATCH(E24,POs!$A$2:$A$61,0)),""))</f>
        <v/>
      </c>
      <c r="H24" s="15" t="n">
        <f aca="false">Invoices!D24</f>
        <v>46176</v>
      </c>
      <c r="I24" s="14" t="n">
        <f aca="false">Invoices!E24</f>
        <v>2087.85</v>
      </c>
      <c r="J24" s="14" t="n">
        <f aca="false">Invoices!F24</f>
        <v>271.42</v>
      </c>
      <c r="K24" s="14" t="n">
        <f aca="false">Invoices!G24</f>
        <v>2359.27</v>
      </c>
      <c r="L24" s="15" t="n">
        <f aca="false">IFERROR(H24+INDEX(Vendors!$H$2:$H$11,MATCH(C24,Vendors!$A$2:$A$11,0)),H24+30)</f>
        <v>46221</v>
      </c>
      <c r="M24" s="16" t="n">
        <f aca="false">IF(COUNTIF($A$2:A24,A24)&gt;1,1,0)</f>
        <v>0</v>
      </c>
      <c r="N24" s="14" t="str">
        <f aca="false">IF(E24="","",SUMIFS($I$2:$I$97,$E$2:$E$97,E24,$M$2:$M$97,0))</f>
        <v/>
      </c>
      <c r="O24" s="16" t="n">
        <f aca="false">IF(C24="UNKNOWN",1,0)</f>
        <v>0</v>
      </c>
      <c r="P24" s="16" t="n">
        <f aca="false">IF(E24="",1,0)</f>
        <v>1</v>
      </c>
      <c r="Q24" s="16" t="n">
        <f aca="false">IF(F24="NOT FOUND",1,0)</f>
        <v>0</v>
      </c>
      <c r="R24" s="16" t="n">
        <f aca="false">IF(AND(F24&lt;&gt;"",F24&lt;&gt;"NOT FOUND",F24&lt;&gt;C24),1,0)</f>
        <v>0</v>
      </c>
      <c r="S24" s="16" t="n">
        <f aca="false">IF(AND(M24=0,ISNUMBER(G24),N24&gt;G24),1,0)</f>
        <v>0</v>
      </c>
      <c r="T24" s="16" t="n">
        <f aca="false">IF(ABS(I24+J24-K24)&gt;0.01,1,0)</f>
        <v>0</v>
      </c>
      <c r="U24" s="16" t="n">
        <f aca="false">IFERROR(IF(ABS(J24-ROUND(I24*INDEX(Vendors!$G$2:$G$11,MATCH(C24,Vendors!$A$2:$A$11,0)),2))&gt;0.01,1,0),0)</f>
        <v>0</v>
      </c>
      <c r="V24" s="16" t="n">
        <f aca="false">IF(D24="Inactive",1,0)</f>
        <v>0</v>
      </c>
      <c r="W24" s="14" t="n">
        <f aca="false">SUMIFS(Payments!$D$2:$D$69,Payments!$F$2:$F$69,A24)</f>
        <v>2359.27</v>
      </c>
      <c r="X24" s="16" t="n">
        <f aca="false">IF(AND(M24=0,W24&gt;0,ABS(W24-K24)&gt;0.01),1,0)</f>
        <v>0</v>
      </c>
      <c r="Y24" s="16" t="n">
        <f aca="false">IF(AND(M24=0,W24=0,L24&lt;About!$B$3),1,0)</f>
        <v>0</v>
      </c>
      <c r="Z24" s="16" t="n">
        <f aca="false">M24+SUM(O24:V24)+X24+Y24</f>
        <v>1</v>
      </c>
    </row>
    <row r="25" customFormat="false" ht="15" hidden="false" customHeight="false" outlineLevel="0" collapsed="false">
      <c r="A25" s="2" t="str">
        <f aca="false">Invoices!A25</f>
        <v>INV-10013</v>
      </c>
      <c r="B25" s="2" t="str">
        <f aca="false">Invoices!B25</f>
        <v>Bluewater Datamail</v>
      </c>
      <c r="C25" s="2" t="str">
        <f aca="false">IFERROR(INDEX(Vendor_Aliases!$B$2:$B$25,MATCH(UPPER(TRIM(B25)),Vendor_Aliases!$A$2:$A$25,0)),"UNKNOWN")</f>
        <v>V010</v>
      </c>
      <c r="D25" s="2" t="str">
        <f aca="false">IFERROR(INDEX(Vendors!$E$2:$E$11,MATCH(C25,Vendors!$A$2:$A$11,0)),"")</f>
        <v>Inactive</v>
      </c>
      <c r="E25" s="2" t="str">
        <f aca="false">IF(Invoices!C25="","",Invoices!C25)</f>
        <v>PO-4503</v>
      </c>
      <c r="F25" s="2" t="str">
        <f aca="false">IF(E25="","",IFERROR(INDEX(POs!$B$2:$B$61,MATCH(E25,POs!$A$2:$A$61,0)),"NOT FOUND"))</f>
        <v>V010</v>
      </c>
      <c r="G25" s="14" t="n">
        <f aca="false">IF(E25="","",IFERROR(INDEX(POs!$E$2:$E$61,MATCH(E25,POs!$A$2:$A$61,0)),""))</f>
        <v>7950</v>
      </c>
      <c r="H25" s="15" t="n">
        <f aca="false">Invoices!D25</f>
        <v>46046</v>
      </c>
      <c r="I25" s="14" t="n">
        <f aca="false">Invoices!E25</f>
        <v>2842.76</v>
      </c>
      <c r="J25" s="14" t="n">
        <f aca="false">Invoices!F25</f>
        <v>369.56</v>
      </c>
      <c r="K25" s="14" t="n">
        <f aca="false">Invoices!G25</f>
        <v>3212.32</v>
      </c>
      <c r="L25" s="15" t="n">
        <f aca="false">IFERROR(H25+INDEX(Vendors!$H$2:$H$11,MATCH(C25,Vendors!$A$2:$A$11,0)),H25+30)</f>
        <v>46076</v>
      </c>
      <c r="M25" s="16" t="n">
        <f aca="false">IF(COUNTIF($A$2:A25,A25)&gt;1,1,0)</f>
        <v>0</v>
      </c>
      <c r="N25" s="14" t="n">
        <f aca="false">IF(E25="","",SUMIFS($I$2:$I$97,$E$2:$E$97,E25,$M$2:$M$97,0))</f>
        <v>6749.56</v>
      </c>
      <c r="O25" s="16" t="n">
        <f aca="false">IF(C25="UNKNOWN",1,0)</f>
        <v>0</v>
      </c>
      <c r="P25" s="16" t="n">
        <f aca="false">IF(E25="",1,0)</f>
        <v>0</v>
      </c>
      <c r="Q25" s="16" t="n">
        <f aca="false">IF(F25="NOT FOUND",1,0)</f>
        <v>0</v>
      </c>
      <c r="R25" s="16" t="n">
        <f aca="false">IF(AND(F25&lt;&gt;"",F25&lt;&gt;"NOT FOUND",F25&lt;&gt;C25),1,0)</f>
        <v>0</v>
      </c>
      <c r="S25" s="16" t="n">
        <f aca="false">IF(AND(M25=0,ISNUMBER(G25),N25&gt;G25),1,0)</f>
        <v>0</v>
      </c>
      <c r="T25" s="16" t="n">
        <f aca="false">IF(ABS(I25+J25-K25)&gt;0.01,1,0)</f>
        <v>0</v>
      </c>
      <c r="U25" s="16" t="n">
        <f aca="false">IFERROR(IF(ABS(J25-ROUND(I25*INDEX(Vendors!$G$2:$G$11,MATCH(C25,Vendors!$A$2:$A$11,0)),2))&gt;0.01,1,0),0)</f>
        <v>0</v>
      </c>
      <c r="V25" s="16" t="n">
        <f aca="false">IF(D25="Inactive",1,0)</f>
        <v>1</v>
      </c>
      <c r="W25" s="14" t="n">
        <f aca="false">SUMIFS(Payments!$D$2:$D$69,Payments!$F$2:$F$69,A25)</f>
        <v>3212.32</v>
      </c>
      <c r="X25" s="16" t="n">
        <f aca="false">IF(AND(M25=0,W25&gt;0,ABS(W25-K25)&gt;0.01),1,0)</f>
        <v>0</v>
      </c>
      <c r="Y25" s="16" t="n">
        <f aca="false">IF(AND(M25=0,W25=0,L25&lt;About!$B$3),1,0)</f>
        <v>0</v>
      </c>
      <c r="Z25" s="16" t="n">
        <f aca="false">M25+SUM(O25:V25)+X25+Y25</f>
        <v>1</v>
      </c>
    </row>
    <row r="26" customFormat="false" ht="15" hidden="false" customHeight="false" outlineLevel="0" collapsed="false">
      <c r="A26" s="2" t="str">
        <f aca="false">Invoices!A26</f>
        <v>INV-10100</v>
      </c>
      <c r="B26" s="2" t="str">
        <f aca="false">Invoices!B26</f>
        <v>Granite Press Ltd.</v>
      </c>
      <c r="C26" s="2" t="str">
        <f aca="false">IFERROR(INDEX(Vendor_Aliases!$B$2:$B$25,MATCH(UPPER(TRIM(B26)),Vendor_Aliases!$A$2:$A$25,0)),"UNKNOWN")</f>
        <v>V009</v>
      </c>
      <c r="D26" s="2" t="str">
        <f aca="false">IFERROR(INDEX(Vendors!$E$2:$E$11,MATCH(C26,Vendors!$A$2:$A$11,0)),"")</f>
        <v>Active</v>
      </c>
      <c r="E26" s="2" t="str">
        <f aca="false">IF(Invoices!C26="","",Invoices!C26)</f>
        <v>PO-4567</v>
      </c>
      <c r="F26" s="2" t="str">
        <f aca="false">IF(E26="","",IFERROR(INDEX(POs!$B$2:$B$61,MATCH(E26,POs!$A$2:$A$61,0)),"NOT FOUND"))</f>
        <v>V009</v>
      </c>
      <c r="G26" s="14" t="n">
        <f aca="false">IF(E26="","",IFERROR(INDEX(POs!$E$2:$E$61,MATCH(E26,POs!$A$2:$A$61,0)),""))</f>
        <v>18850</v>
      </c>
      <c r="H26" s="15" t="n">
        <f aca="false">Invoices!D26</f>
        <v>46109</v>
      </c>
      <c r="I26" s="14" t="n">
        <f aca="false">Invoices!E26</f>
        <v>6754.55</v>
      </c>
      <c r="J26" s="14" t="n">
        <f aca="false">Invoices!F26</f>
        <v>337.73</v>
      </c>
      <c r="K26" s="14" t="n">
        <f aca="false">Invoices!G26</f>
        <v>7092.28</v>
      </c>
      <c r="L26" s="15" t="n">
        <f aca="false">IFERROR(H26+INDEX(Vendors!$H$2:$H$11,MATCH(C26,Vendors!$A$2:$A$11,0)),H26+30)</f>
        <v>46169</v>
      </c>
      <c r="M26" s="16" t="n">
        <f aca="false">IF(COUNTIF($A$2:A26,A26)&gt;1,1,0)</f>
        <v>0</v>
      </c>
      <c r="N26" s="14" t="n">
        <f aca="false">IF(E26="","",SUMIFS($I$2:$I$97,$E$2:$E$97,E26,$M$2:$M$97,0))</f>
        <v>15005.59</v>
      </c>
      <c r="O26" s="16" t="n">
        <f aca="false">IF(C26="UNKNOWN",1,0)</f>
        <v>0</v>
      </c>
      <c r="P26" s="16" t="n">
        <f aca="false">IF(E26="",1,0)</f>
        <v>0</v>
      </c>
      <c r="Q26" s="16" t="n">
        <f aca="false">IF(F26="NOT FOUND",1,0)</f>
        <v>0</v>
      </c>
      <c r="R26" s="16" t="n">
        <f aca="false">IF(AND(F26&lt;&gt;"",F26&lt;&gt;"NOT FOUND",F26&lt;&gt;C26),1,0)</f>
        <v>0</v>
      </c>
      <c r="S26" s="16" t="n">
        <f aca="false">IF(AND(M26=0,ISNUMBER(G26),N26&gt;G26),1,0)</f>
        <v>0</v>
      </c>
      <c r="T26" s="16" t="n">
        <f aca="false">IF(ABS(I26+J26-K26)&gt;0.01,1,0)</f>
        <v>0</v>
      </c>
      <c r="U26" s="16" t="n">
        <f aca="false">IFERROR(IF(ABS(J26-ROUND(I26*INDEX(Vendors!$G$2:$G$11,MATCH(C26,Vendors!$A$2:$A$11,0)),2))&gt;0.01,1,0),0)</f>
        <v>0</v>
      </c>
      <c r="V26" s="16" t="n">
        <f aca="false">IF(D26="Inactive",1,0)</f>
        <v>0</v>
      </c>
      <c r="W26" s="14" t="n">
        <f aca="false">SUMIFS(Payments!$D$2:$D$69,Payments!$F$2:$F$69,A26)</f>
        <v>7092.28</v>
      </c>
      <c r="X26" s="16" t="n">
        <f aca="false">IF(AND(M26=0,W26&gt;0,ABS(W26-K26)&gt;0.01),1,0)</f>
        <v>0</v>
      </c>
      <c r="Y26" s="16" t="n">
        <f aca="false">IF(AND(M26=0,W26=0,L26&lt;About!$B$3),1,0)</f>
        <v>0</v>
      </c>
      <c r="Z26" s="16" t="n">
        <f aca="false">M26+SUM(O26:V26)+X26+Y26</f>
        <v>0</v>
      </c>
    </row>
    <row r="27" customFormat="false" ht="15" hidden="false" customHeight="false" outlineLevel="0" collapsed="false">
      <c r="A27" s="2" t="str">
        <f aca="false">Invoices!A27</f>
        <v>INV-10192</v>
      </c>
      <c r="B27" s="2" t="str">
        <f aca="false">Invoices!B27</f>
        <v>QuickPost Couriers</v>
      </c>
      <c r="C27" s="2" t="str">
        <f aca="false">IFERROR(INDEX(Vendor_Aliases!$B$2:$B$25,MATCH(UPPER(TRIM(B27)),Vendor_Aliases!$A$2:$A$25,0)),"UNKNOWN")</f>
        <v>UNKNOWN</v>
      </c>
      <c r="D27" s="2" t="str">
        <f aca="false">IFERROR(INDEX(Vendors!$E$2:$E$11,MATCH(C27,Vendors!$A$2:$A$11,0)),"")</f>
        <v/>
      </c>
      <c r="E27" s="2" t="str">
        <f aca="false">IF(Invoices!C27="","",Invoices!C27)</f>
        <v/>
      </c>
      <c r="F27" s="2" t="str">
        <f aca="false">IF(E27="","",IFERROR(INDEX(POs!$B$2:$B$61,MATCH(E27,POs!$A$2:$A$61,0)),"NOT FOUND"))</f>
        <v/>
      </c>
      <c r="G27" s="14" t="str">
        <f aca="false">IF(E27="","",IFERROR(INDEX(POs!$E$2:$E$61,MATCH(E27,POs!$A$2:$A$61,0)),""))</f>
        <v/>
      </c>
      <c r="H27" s="15" t="n">
        <f aca="false">Invoices!D27</f>
        <v>46256</v>
      </c>
      <c r="I27" s="14" t="n">
        <f aca="false">Invoices!E27</f>
        <v>5998.08</v>
      </c>
      <c r="J27" s="14" t="n">
        <f aca="false">Invoices!F27</f>
        <v>779.75</v>
      </c>
      <c r="K27" s="14" t="n">
        <f aca="false">Invoices!G27</f>
        <v>6777.83</v>
      </c>
      <c r="L27" s="15" t="n">
        <f aca="false">IFERROR(H27+INDEX(Vendors!$H$2:$H$11,MATCH(C27,Vendors!$A$2:$A$11,0)),H27+30)</f>
        <v>46286</v>
      </c>
      <c r="M27" s="16" t="n">
        <f aca="false">IF(COUNTIF($A$2:A27,A27)&gt;1,1,0)</f>
        <v>0</v>
      </c>
      <c r="N27" s="14" t="str">
        <f aca="false">IF(E27="","",SUMIFS($I$2:$I$97,$E$2:$E$97,E27,$M$2:$M$97,0))</f>
        <v/>
      </c>
      <c r="O27" s="16" t="n">
        <f aca="false">IF(C27="UNKNOWN",1,0)</f>
        <v>1</v>
      </c>
      <c r="P27" s="16" t="n">
        <f aca="false">IF(E27="",1,0)</f>
        <v>1</v>
      </c>
      <c r="Q27" s="16" t="n">
        <f aca="false">IF(F27="NOT FOUND",1,0)</f>
        <v>0</v>
      </c>
      <c r="R27" s="16" t="n">
        <f aca="false">IF(AND(F27&lt;&gt;"",F27&lt;&gt;"NOT FOUND",F27&lt;&gt;C27),1,0)</f>
        <v>0</v>
      </c>
      <c r="S27" s="16" t="n">
        <f aca="false">IF(AND(M27=0,ISNUMBER(G27),N27&gt;G27),1,0)</f>
        <v>0</v>
      </c>
      <c r="T27" s="16" t="n">
        <f aca="false">IF(ABS(I27+J27-K27)&gt;0.01,1,0)</f>
        <v>0</v>
      </c>
      <c r="U27" s="16" t="n">
        <f aca="false">IFERROR(IF(ABS(J27-ROUND(I27*INDEX(Vendors!$G$2:$G$11,MATCH(C27,Vendors!$A$2:$A$11,0)),2))&gt;0.01,1,0),0)</f>
        <v>0</v>
      </c>
      <c r="V27" s="16" t="n">
        <f aca="false">IF(D27="Inactive",1,0)</f>
        <v>0</v>
      </c>
      <c r="W27" s="14" t="n">
        <f aca="false">SUMIFS(Payments!$D$2:$D$69,Payments!$F$2:$F$69,A27)</f>
        <v>0</v>
      </c>
      <c r="X27" s="16" t="n">
        <f aca="false">IF(AND(M27=0,W27&gt;0,ABS(W27-K27)&gt;0.01),1,0)</f>
        <v>0</v>
      </c>
      <c r="Y27" s="16" t="n">
        <f aca="false">IF(AND(M27=0,W27=0,L27&lt;About!$B$3),1,0)</f>
        <v>1</v>
      </c>
      <c r="Z27" s="16" t="n">
        <f aca="false">M27+SUM(O27:V27)+X27+Y27</f>
        <v>3</v>
      </c>
    </row>
    <row r="28" customFormat="false" ht="15" hidden="false" customHeight="false" outlineLevel="0" collapsed="false">
      <c r="A28" s="2" t="str">
        <f aca="false">Invoices!A28</f>
        <v>INV-10122</v>
      </c>
      <c r="B28" s="2" t="str">
        <f aca="false">Invoices!B28</f>
        <v>Lakeshore Envelope Co.</v>
      </c>
      <c r="C28" s="2" t="str">
        <f aca="false">IFERROR(INDEX(Vendor_Aliases!$B$2:$B$25,MATCH(UPPER(TRIM(B28)),Vendor_Aliases!$A$2:$A$25,0)),"UNKNOWN")</f>
        <v>V003</v>
      </c>
      <c r="D28" s="2" t="str">
        <f aca="false">IFERROR(INDEX(Vendors!$E$2:$E$11,MATCH(C28,Vendors!$A$2:$A$11,0)),"")</f>
        <v>Active</v>
      </c>
      <c r="E28" s="2" t="str">
        <f aca="false">IF(Invoices!C28="","",Invoices!C28)</f>
        <v>PO-4593</v>
      </c>
      <c r="F28" s="2" t="str">
        <f aca="false">IF(E28="","",IFERROR(INDEX(POs!$B$2:$B$61,MATCH(E28,POs!$A$2:$A$61,0)),"NOT FOUND"))</f>
        <v>V003</v>
      </c>
      <c r="G28" s="14" t="n">
        <f aca="false">IF(E28="","",IFERROR(INDEX(POs!$E$2:$E$61,MATCH(E28,POs!$A$2:$A$61,0)),""))</f>
        <v>12300</v>
      </c>
      <c r="H28" s="15" t="n">
        <f aca="false">Invoices!D28</f>
        <v>46186</v>
      </c>
      <c r="I28" s="14" t="n">
        <f aca="false">Invoices!E28</f>
        <v>11842.12</v>
      </c>
      <c r="J28" s="14" t="n">
        <f aca="false">Invoices!F28</f>
        <v>1539.48</v>
      </c>
      <c r="K28" s="14" t="n">
        <f aca="false">Invoices!G28</f>
        <v>13381.6</v>
      </c>
      <c r="L28" s="15" t="n">
        <f aca="false">IFERROR(H28+INDEX(Vendors!$H$2:$H$11,MATCH(C28,Vendors!$A$2:$A$11,0)),H28+30)</f>
        <v>46231</v>
      </c>
      <c r="M28" s="16" t="n">
        <f aca="false">IF(COUNTIF($A$2:A28,A28)&gt;1,1,0)</f>
        <v>0</v>
      </c>
      <c r="N28" s="14" t="n">
        <f aca="false">IF(E28="","",SUMIFS($I$2:$I$97,$E$2:$E$97,E28,$M$2:$M$97,0))</f>
        <v>11842.12</v>
      </c>
      <c r="O28" s="16" t="n">
        <f aca="false">IF(C28="UNKNOWN",1,0)</f>
        <v>0</v>
      </c>
      <c r="P28" s="16" t="n">
        <f aca="false">IF(E28="",1,0)</f>
        <v>0</v>
      </c>
      <c r="Q28" s="16" t="n">
        <f aca="false">IF(F28="NOT FOUND",1,0)</f>
        <v>0</v>
      </c>
      <c r="R28" s="16" t="n">
        <f aca="false">IF(AND(F28&lt;&gt;"",F28&lt;&gt;"NOT FOUND",F28&lt;&gt;C28),1,0)</f>
        <v>0</v>
      </c>
      <c r="S28" s="16" t="n">
        <f aca="false">IF(AND(M28=0,ISNUMBER(G28),N28&gt;G28),1,0)</f>
        <v>0</v>
      </c>
      <c r="T28" s="16" t="n">
        <f aca="false">IF(ABS(I28+J28-K28)&gt;0.01,1,0)</f>
        <v>0</v>
      </c>
      <c r="U28" s="16" t="n">
        <f aca="false">IFERROR(IF(ABS(J28-ROUND(I28*INDEX(Vendors!$G$2:$G$11,MATCH(C28,Vendors!$A$2:$A$11,0)),2))&gt;0.01,1,0),0)</f>
        <v>0</v>
      </c>
      <c r="V28" s="16" t="n">
        <f aca="false">IF(D28="Inactive",1,0)</f>
        <v>0</v>
      </c>
      <c r="W28" s="14" t="n">
        <f aca="false">SUMIFS(Payments!$D$2:$D$69,Payments!$F$2:$F$69,A28)</f>
        <v>13381.6</v>
      </c>
      <c r="X28" s="16" t="n">
        <f aca="false">IF(AND(M28=0,W28&gt;0,ABS(W28-K28)&gt;0.01),1,0)</f>
        <v>0</v>
      </c>
      <c r="Y28" s="16" t="n">
        <f aca="false">IF(AND(M28=0,W28=0,L28&lt;About!$B$3),1,0)</f>
        <v>0</v>
      </c>
      <c r="Z28" s="16" t="n">
        <f aca="false">M28+SUM(O28:V28)+X28+Y28</f>
        <v>0</v>
      </c>
    </row>
    <row r="29" customFormat="false" ht="15" hidden="false" customHeight="false" outlineLevel="0" collapsed="false">
      <c r="A29" s="2" t="str">
        <f aca="false">Invoices!A29</f>
        <v>INV-10063</v>
      </c>
      <c r="B29" s="2" t="str">
        <f aca="false">Invoices!B29</f>
        <v>Maple Mailing</v>
      </c>
      <c r="C29" s="2" t="str">
        <f aca="false">IFERROR(INDEX(Vendor_Aliases!$B$2:$B$25,MATCH(UPPER(TRIM(B29)),Vendor_Aliases!$A$2:$A$25,0)),"UNKNOWN")</f>
        <v>V002</v>
      </c>
      <c r="D29" s="2" t="str">
        <f aca="false">IFERROR(INDEX(Vendors!$E$2:$E$11,MATCH(C29,Vendors!$A$2:$A$11,0)),"")</f>
        <v>Active</v>
      </c>
      <c r="E29" s="2" t="str">
        <f aca="false">IF(Invoices!C29="","",Invoices!C29)</f>
        <v>PO-4541</v>
      </c>
      <c r="F29" s="2" t="str">
        <f aca="false">IF(E29="","",IFERROR(INDEX(POs!$B$2:$B$61,MATCH(E29,POs!$A$2:$A$61,0)),"NOT FOUND"))</f>
        <v>V002</v>
      </c>
      <c r="G29" s="14" t="n">
        <f aca="false">IF(E29="","",IFERROR(INDEX(POs!$E$2:$E$61,MATCH(E29,POs!$A$2:$A$61,0)),""))</f>
        <v>2050</v>
      </c>
      <c r="H29" s="15" t="n">
        <f aca="false">Invoices!D29</f>
        <v>46177</v>
      </c>
      <c r="I29" s="14" t="n">
        <f aca="false">Invoices!E29</f>
        <v>735.56</v>
      </c>
      <c r="J29" s="14" t="n">
        <f aca="false">Invoices!F29</f>
        <v>95.62</v>
      </c>
      <c r="K29" s="14" t="n">
        <f aca="false">Invoices!G29</f>
        <v>831.18</v>
      </c>
      <c r="L29" s="15" t="n">
        <f aca="false">IFERROR(H29+INDEX(Vendors!$H$2:$H$11,MATCH(C29,Vendors!$A$2:$A$11,0)),H29+30)</f>
        <v>46207</v>
      </c>
      <c r="M29" s="16" t="n">
        <f aca="false">IF(COUNTIF($A$2:A29,A29)&gt;1,1,0)</f>
        <v>0</v>
      </c>
      <c r="N29" s="14" t="n">
        <f aca="false">IF(E29="","",SUMIFS($I$2:$I$97,$E$2:$E$97,E29,$M$2:$M$97,0))</f>
        <v>1709.2</v>
      </c>
      <c r="O29" s="16" t="n">
        <f aca="false">IF(C29="UNKNOWN",1,0)</f>
        <v>0</v>
      </c>
      <c r="P29" s="16" t="n">
        <f aca="false">IF(E29="",1,0)</f>
        <v>0</v>
      </c>
      <c r="Q29" s="16" t="n">
        <f aca="false">IF(F29="NOT FOUND",1,0)</f>
        <v>0</v>
      </c>
      <c r="R29" s="16" t="n">
        <f aca="false">IF(AND(F29&lt;&gt;"",F29&lt;&gt;"NOT FOUND",F29&lt;&gt;C29),1,0)</f>
        <v>0</v>
      </c>
      <c r="S29" s="16" t="n">
        <f aca="false">IF(AND(M29=0,ISNUMBER(G29),N29&gt;G29),1,0)</f>
        <v>0</v>
      </c>
      <c r="T29" s="16" t="n">
        <f aca="false">IF(ABS(I29+J29-K29)&gt;0.01,1,0)</f>
        <v>0</v>
      </c>
      <c r="U29" s="16" t="n">
        <f aca="false">IFERROR(IF(ABS(J29-ROUND(I29*INDEX(Vendors!$G$2:$G$11,MATCH(C29,Vendors!$A$2:$A$11,0)),2))&gt;0.01,1,0),0)</f>
        <v>0</v>
      </c>
      <c r="V29" s="16" t="n">
        <f aca="false">IF(D29="Inactive",1,0)</f>
        <v>0</v>
      </c>
      <c r="W29" s="14" t="n">
        <f aca="false">SUMIFS(Payments!$D$2:$D$69,Payments!$F$2:$F$69,A29)</f>
        <v>0</v>
      </c>
      <c r="X29" s="16" t="n">
        <f aca="false">IF(AND(M29=0,W29&gt;0,ABS(W29-K29)&gt;0.01),1,0)</f>
        <v>0</v>
      </c>
      <c r="Y29" s="16" t="n">
        <f aca="false">IF(AND(M29=0,W29=0,L29&lt;About!$B$3),1,0)</f>
        <v>1</v>
      </c>
      <c r="Z29" s="16" t="n">
        <f aca="false">M29+SUM(O29:V29)+X29+Y29</f>
        <v>1</v>
      </c>
    </row>
    <row r="30" customFormat="false" ht="15" hidden="false" customHeight="false" outlineLevel="0" collapsed="false">
      <c r="A30" s="2" t="str">
        <f aca="false">Invoices!A30</f>
        <v>INV-10110</v>
      </c>
      <c r="B30" s="2" t="str">
        <f aca="false">Invoices!B30</f>
        <v>SUMMIT DIGITAL PRINT INC.</v>
      </c>
      <c r="C30" s="2" t="str">
        <f aca="false">IFERROR(INDEX(Vendor_Aliases!$B$2:$B$25,MATCH(UPPER(TRIM(B30)),Vendor_Aliases!$A$2:$A$25,0)),"UNKNOWN")</f>
        <v>V004</v>
      </c>
      <c r="D30" s="2" t="str">
        <f aca="false">IFERROR(INDEX(Vendors!$E$2:$E$11,MATCH(C30,Vendors!$A$2:$A$11,0)),"")</f>
        <v>Active</v>
      </c>
      <c r="E30" s="2" t="str">
        <f aca="false">IF(Invoices!C30="","",Invoices!C30)</f>
        <v/>
      </c>
      <c r="F30" s="2" t="str">
        <f aca="false">IF(E30="","",IFERROR(INDEX(POs!$B$2:$B$61,MATCH(E30,POs!$A$2:$A$61,0)),"NOT FOUND"))</f>
        <v/>
      </c>
      <c r="G30" s="14" t="str">
        <f aca="false">IF(E30="","",IFERROR(INDEX(POs!$E$2:$E$61,MATCH(E30,POs!$A$2:$A$61,0)),""))</f>
        <v/>
      </c>
      <c r="H30" s="15" t="n">
        <f aca="false">Invoices!D30</f>
        <v>46152</v>
      </c>
      <c r="I30" s="14" t="n">
        <f aca="false">Invoices!E30</f>
        <v>2819.93</v>
      </c>
      <c r="J30" s="14" t="n">
        <f aca="false">Invoices!F30</f>
        <v>422.28</v>
      </c>
      <c r="K30" s="14" t="n">
        <f aca="false">Invoices!G30</f>
        <v>3242.21</v>
      </c>
      <c r="L30" s="15" t="n">
        <f aca="false">IFERROR(H30+INDEX(Vendors!$H$2:$H$11,MATCH(C30,Vendors!$A$2:$A$11,0)),H30+30)</f>
        <v>46182</v>
      </c>
      <c r="M30" s="16" t="n">
        <f aca="false">IF(COUNTIF($A$2:A30,A30)&gt;1,1,0)</f>
        <v>0</v>
      </c>
      <c r="N30" s="14" t="str">
        <f aca="false">IF(E30="","",SUMIFS($I$2:$I$97,$E$2:$E$97,E30,$M$2:$M$97,0))</f>
        <v/>
      </c>
      <c r="O30" s="16" t="n">
        <f aca="false">IF(C30="UNKNOWN",1,0)</f>
        <v>0</v>
      </c>
      <c r="P30" s="16" t="n">
        <f aca="false">IF(E30="",1,0)</f>
        <v>1</v>
      </c>
      <c r="Q30" s="16" t="n">
        <f aca="false">IF(F30="NOT FOUND",1,0)</f>
        <v>0</v>
      </c>
      <c r="R30" s="16" t="n">
        <f aca="false">IF(AND(F30&lt;&gt;"",F30&lt;&gt;"NOT FOUND",F30&lt;&gt;C30),1,0)</f>
        <v>0</v>
      </c>
      <c r="S30" s="16" t="n">
        <f aca="false">IF(AND(M30=0,ISNUMBER(G30),N30&gt;G30),1,0)</f>
        <v>0</v>
      </c>
      <c r="T30" s="16" t="n">
        <f aca="false">IF(ABS(I30+J30-K30)&gt;0.01,1,0)</f>
        <v>0</v>
      </c>
      <c r="U30" s="16" t="n">
        <f aca="false">IFERROR(IF(ABS(J30-ROUND(I30*INDEX(Vendors!$G$2:$G$11,MATCH(C30,Vendors!$A$2:$A$11,0)),2))&gt;0.01,1,0),0)</f>
        <v>0</v>
      </c>
      <c r="V30" s="16" t="n">
        <f aca="false">IF(D30="Inactive",1,0)</f>
        <v>0</v>
      </c>
      <c r="W30" s="14" t="n">
        <f aca="false">SUMIFS(Payments!$D$2:$D$69,Payments!$F$2:$F$69,A30)</f>
        <v>3242.21</v>
      </c>
      <c r="X30" s="16" t="n">
        <f aca="false">IF(AND(M30=0,W30&gt;0,ABS(W30-K30)&gt;0.01),1,0)</f>
        <v>0</v>
      </c>
      <c r="Y30" s="16" t="n">
        <f aca="false">IF(AND(M30=0,W30=0,L30&lt;About!$B$3),1,0)</f>
        <v>0</v>
      </c>
      <c r="Z30" s="16" t="n">
        <f aca="false">M30+SUM(O30:V30)+X30+Y30</f>
        <v>1</v>
      </c>
    </row>
    <row r="31" customFormat="false" ht="15" hidden="false" customHeight="false" outlineLevel="0" collapsed="false">
      <c r="A31" s="2" t="str">
        <f aca="false">Invoices!A31</f>
        <v>INV-10108</v>
      </c>
      <c r="B31" s="2" t="str">
        <f aca="false">Invoices!B31</f>
        <v>Northbridge Print Services Inc </v>
      </c>
      <c r="C31" s="2" t="str">
        <f aca="false">IFERROR(INDEX(Vendor_Aliases!$B$2:$B$25,MATCH(UPPER(TRIM(B31)),Vendor_Aliases!$A$2:$A$25,0)),"UNKNOWN")</f>
        <v>V001</v>
      </c>
      <c r="D31" s="2" t="str">
        <f aca="false">IFERROR(INDEX(Vendors!$E$2:$E$11,MATCH(C31,Vendors!$A$2:$A$11,0)),"")</f>
        <v>Active</v>
      </c>
      <c r="E31" s="2" t="str">
        <f aca="false">IF(Invoices!C31="","",Invoices!C31)</f>
        <v>PO-4575</v>
      </c>
      <c r="F31" s="2" t="str">
        <f aca="false">IF(E31="","",IFERROR(INDEX(POs!$B$2:$B$61,MATCH(E31,POs!$A$2:$A$61,0)),"NOT FOUND"))</f>
        <v>V001</v>
      </c>
      <c r="G31" s="14" t="n">
        <f aca="false">IF(E31="","",IFERROR(INDEX(POs!$E$2:$E$61,MATCH(E31,POs!$A$2:$A$61,0)),""))</f>
        <v>8350</v>
      </c>
      <c r="H31" s="15" t="n">
        <f aca="false">Invoices!D31</f>
        <v>46220</v>
      </c>
      <c r="I31" s="14" t="n">
        <f aca="false">Invoices!E31</f>
        <v>3143.01</v>
      </c>
      <c r="J31" s="14" t="n">
        <f aca="false">Invoices!F31</f>
        <v>408.59</v>
      </c>
      <c r="K31" s="14" t="n">
        <f aca="false">Invoices!G31</f>
        <v>3551.6</v>
      </c>
      <c r="L31" s="15" t="n">
        <f aca="false">IFERROR(H31+INDEX(Vendors!$H$2:$H$11,MATCH(C31,Vendors!$A$2:$A$11,0)),H31+30)</f>
        <v>46250</v>
      </c>
      <c r="M31" s="16" t="n">
        <f aca="false">IF(COUNTIF($A$2:A31,A31)&gt;1,1,0)</f>
        <v>0</v>
      </c>
      <c r="N31" s="14" t="n">
        <f aca="false">IF(E31="","",SUMIFS($I$2:$I$97,$E$2:$E$97,E31,$M$2:$M$97,0))</f>
        <v>6722.2</v>
      </c>
      <c r="O31" s="16" t="n">
        <f aca="false">IF(C31="UNKNOWN",1,0)</f>
        <v>0</v>
      </c>
      <c r="P31" s="16" t="n">
        <f aca="false">IF(E31="",1,0)</f>
        <v>0</v>
      </c>
      <c r="Q31" s="16" t="n">
        <f aca="false">IF(F31="NOT FOUND",1,0)</f>
        <v>0</v>
      </c>
      <c r="R31" s="16" t="n">
        <f aca="false">IF(AND(F31&lt;&gt;"",F31&lt;&gt;"NOT FOUND",F31&lt;&gt;C31),1,0)</f>
        <v>0</v>
      </c>
      <c r="S31" s="16" t="n">
        <f aca="false">IF(AND(M31=0,ISNUMBER(G31),N31&gt;G31),1,0)</f>
        <v>0</v>
      </c>
      <c r="T31" s="16" t="n">
        <f aca="false">IF(ABS(I31+J31-K31)&gt;0.01,1,0)</f>
        <v>0</v>
      </c>
      <c r="U31" s="16" t="n">
        <f aca="false">IFERROR(IF(ABS(J31-ROUND(I31*INDEX(Vendors!$G$2:$G$11,MATCH(C31,Vendors!$A$2:$A$11,0)),2))&gt;0.01,1,0),0)</f>
        <v>0</v>
      </c>
      <c r="V31" s="16" t="n">
        <f aca="false">IF(D31="Inactive",1,0)</f>
        <v>0</v>
      </c>
      <c r="W31" s="14" t="n">
        <f aca="false">SUMIFS(Payments!$D$2:$D$69,Payments!$F$2:$F$69,A31)</f>
        <v>0</v>
      </c>
      <c r="X31" s="16" t="n">
        <f aca="false">IF(AND(M31=0,W31&gt;0,ABS(W31-K31)&gt;0.01),1,0)</f>
        <v>0</v>
      </c>
      <c r="Y31" s="16" t="n">
        <f aca="false">IF(AND(M31=0,W31=0,L31&lt;About!$B$3),1,0)</f>
        <v>1</v>
      </c>
      <c r="Z31" s="16" t="n">
        <f aca="false">M31+SUM(O31:V31)+X31+Y31</f>
        <v>1</v>
      </c>
    </row>
    <row r="32" customFormat="false" ht="15" hidden="false" customHeight="false" outlineLevel="0" collapsed="false">
      <c r="A32" s="2" t="str">
        <f aca="false">Invoices!A32</f>
        <v>INV-10188</v>
      </c>
      <c r="B32" s="2" t="str">
        <f aca="false">Invoices!B32</f>
        <v>CEDARLINE PAPER SUPPLY</v>
      </c>
      <c r="C32" s="2" t="str">
        <f aca="false">IFERROR(INDEX(Vendor_Aliases!$B$2:$B$25,MATCH(UPPER(TRIM(B32)),Vendor_Aliases!$A$2:$A$25,0)),"UNKNOWN")</f>
        <v>V006</v>
      </c>
      <c r="D32" s="2" t="str">
        <f aca="false">IFERROR(INDEX(Vendors!$E$2:$E$11,MATCH(C32,Vendors!$A$2:$A$11,0)),"")</f>
        <v>Active</v>
      </c>
      <c r="E32" s="2" t="str">
        <f aca="false">IF(Invoices!C32="","",Invoices!C32)</f>
        <v>PO-4637</v>
      </c>
      <c r="F32" s="2" t="str">
        <f aca="false">IF(E32="","",IFERROR(INDEX(POs!$B$2:$B$61,MATCH(E32,POs!$A$2:$A$61,0)),"NOT FOUND"))</f>
        <v>V006</v>
      </c>
      <c r="G32" s="14" t="n">
        <f aca="false">IF(E32="","",IFERROR(INDEX(POs!$E$2:$E$61,MATCH(E32,POs!$A$2:$A$61,0)),""))</f>
        <v>16850</v>
      </c>
      <c r="H32" s="15" t="n">
        <f aca="false">Invoices!D32</f>
        <v>46064</v>
      </c>
      <c r="I32" s="14" t="n">
        <f aca="false">Invoices!E32</f>
        <v>15126.23</v>
      </c>
      <c r="J32" s="14" t="n">
        <f aca="false">Invoices!F32</f>
        <v>1966.41</v>
      </c>
      <c r="K32" s="14" t="n">
        <f aca="false">Invoices!G32</f>
        <v>17092.64</v>
      </c>
      <c r="L32" s="15" t="n">
        <f aca="false">IFERROR(H32+INDEX(Vendors!$H$2:$H$11,MATCH(C32,Vendors!$A$2:$A$11,0)),H32+30)</f>
        <v>46109</v>
      </c>
      <c r="M32" s="16" t="n">
        <f aca="false">IF(COUNTIF($A$2:A32,A32)&gt;1,1,0)</f>
        <v>0</v>
      </c>
      <c r="N32" s="14" t="n">
        <f aca="false">IF(E32="","",SUMIFS($I$2:$I$97,$E$2:$E$97,E32,$M$2:$M$97,0))</f>
        <v>15126.23</v>
      </c>
      <c r="O32" s="16" t="n">
        <f aca="false">IF(C32="UNKNOWN",1,0)</f>
        <v>0</v>
      </c>
      <c r="P32" s="16" t="n">
        <f aca="false">IF(E32="",1,0)</f>
        <v>0</v>
      </c>
      <c r="Q32" s="16" t="n">
        <f aca="false">IF(F32="NOT FOUND",1,0)</f>
        <v>0</v>
      </c>
      <c r="R32" s="16" t="n">
        <f aca="false">IF(AND(F32&lt;&gt;"",F32&lt;&gt;"NOT FOUND",F32&lt;&gt;C32),1,0)</f>
        <v>0</v>
      </c>
      <c r="S32" s="16" t="n">
        <f aca="false">IF(AND(M32=0,ISNUMBER(G32),N32&gt;G32),1,0)</f>
        <v>0</v>
      </c>
      <c r="T32" s="16" t="n">
        <f aca="false">IF(ABS(I32+J32-K32)&gt;0.01,1,0)</f>
        <v>0</v>
      </c>
      <c r="U32" s="16" t="n">
        <f aca="false">IFERROR(IF(ABS(J32-ROUND(I32*INDEX(Vendors!$G$2:$G$11,MATCH(C32,Vendors!$A$2:$A$11,0)),2))&gt;0.01,1,0),0)</f>
        <v>0</v>
      </c>
      <c r="V32" s="16" t="n">
        <f aca="false">IF(D32="Inactive",1,0)</f>
        <v>0</v>
      </c>
      <c r="W32" s="14" t="n">
        <f aca="false">SUMIFS(Payments!$D$2:$D$69,Payments!$F$2:$F$69,A32)</f>
        <v>17092.64</v>
      </c>
      <c r="X32" s="16" t="n">
        <f aca="false">IF(AND(M32=0,W32&gt;0,ABS(W32-K32)&gt;0.01),1,0)</f>
        <v>0</v>
      </c>
      <c r="Y32" s="16" t="n">
        <f aca="false">IF(AND(M32=0,W32=0,L32&lt;About!$B$3),1,0)</f>
        <v>0</v>
      </c>
      <c r="Z32" s="16" t="n">
        <f aca="false">M32+SUM(O32:V32)+X32+Y32</f>
        <v>0</v>
      </c>
    </row>
    <row r="33" customFormat="false" ht="15" hidden="false" customHeight="false" outlineLevel="0" collapsed="false">
      <c r="A33" s="2" t="str">
        <f aca="false">Invoices!A33</f>
        <v>INV-10057</v>
      </c>
      <c r="B33" s="2" t="str">
        <f aca="false">Invoices!B33</f>
        <v>Northbridge Print Services</v>
      </c>
      <c r="C33" s="2" t="str">
        <f aca="false">IFERROR(INDEX(Vendor_Aliases!$B$2:$B$25,MATCH(UPPER(TRIM(B33)),Vendor_Aliases!$A$2:$A$25,0)),"UNKNOWN")</f>
        <v>V001</v>
      </c>
      <c r="D33" s="2" t="str">
        <f aca="false">IFERROR(INDEX(Vendors!$E$2:$E$11,MATCH(C33,Vendors!$A$2:$A$11,0)),"")</f>
        <v>Active</v>
      </c>
      <c r="E33" s="2" t="str">
        <f aca="false">IF(Invoices!C33="","",Invoices!C33)</f>
        <v>PO-4538</v>
      </c>
      <c r="F33" s="2" t="str">
        <f aca="false">IF(E33="","",IFERROR(INDEX(POs!$B$2:$B$61,MATCH(E33,POs!$A$2:$A$61,0)),"NOT FOUND"))</f>
        <v>V001</v>
      </c>
      <c r="G33" s="14" t="n">
        <f aca="false">IF(E33="","",IFERROR(INDEX(POs!$E$2:$E$61,MATCH(E33,POs!$A$2:$A$61,0)),""))</f>
        <v>18400</v>
      </c>
      <c r="H33" s="15" t="n">
        <f aca="false">Invoices!D33</f>
        <v>46223</v>
      </c>
      <c r="I33" s="14" t="n">
        <f aca="false">Invoices!E33</f>
        <v>8901.74</v>
      </c>
      <c r="J33" s="14" t="n">
        <f aca="false">Invoices!F33</f>
        <v>1157.23</v>
      </c>
      <c r="K33" s="14" t="n">
        <f aca="false">Invoices!G33</f>
        <v>10058.97</v>
      </c>
      <c r="L33" s="15" t="n">
        <f aca="false">IFERROR(H33+INDEX(Vendors!$H$2:$H$11,MATCH(C33,Vendors!$A$2:$A$11,0)),H33+30)</f>
        <v>46253</v>
      </c>
      <c r="M33" s="16" t="n">
        <f aca="false">IF(COUNTIF($A$2:A33,A33)&gt;1,1,0)</f>
        <v>0</v>
      </c>
      <c r="N33" s="14" t="n">
        <f aca="false">IF(E33="","",SUMIFS($I$2:$I$97,$E$2:$E$97,E33,$M$2:$M$97,0))</f>
        <v>15657.07</v>
      </c>
      <c r="O33" s="16" t="n">
        <f aca="false">IF(C33="UNKNOWN",1,0)</f>
        <v>0</v>
      </c>
      <c r="P33" s="16" t="n">
        <f aca="false">IF(E33="",1,0)</f>
        <v>0</v>
      </c>
      <c r="Q33" s="16" t="n">
        <f aca="false">IF(F33="NOT FOUND",1,0)</f>
        <v>0</v>
      </c>
      <c r="R33" s="16" t="n">
        <f aca="false">IF(AND(F33&lt;&gt;"",F33&lt;&gt;"NOT FOUND",F33&lt;&gt;C33),1,0)</f>
        <v>0</v>
      </c>
      <c r="S33" s="16" t="n">
        <f aca="false">IF(AND(M33=0,ISNUMBER(G33),N33&gt;G33),1,0)</f>
        <v>0</v>
      </c>
      <c r="T33" s="16" t="n">
        <f aca="false">IF(ABS(I33+J33-K33)&gt;0.01,1,0)</f>
        <v>0</v>
      </c>
      <c r="U33" s="16" t="n">
        <f aca="false">IFERROR(IF(ABS(J33-ROUND(I33*INDEX(Vendors!$G$2:$G$11,MATCH(C33,Vendors!$A$2:$A$11,0)),2))&gt;0.01,1,0),0)</f>
        <v>0</v>
      </c>
      <c r="V33" s="16" t="n">
        <f aca="false">IF(D33="Inactive",1,0)</f>
        <v>0</v>
      </c>
      <c r="W33" s="14" t="n">
        <f aca="false">SUMIFS(Payments!$D$2:$D$69,Payments!$F$2:$F$69,A33)</f>
        <v>10058.97</v>
      </c>
      <c r="X33" s="16" t="n">
        <f aca="false">IF(AND(M33=0,W33&gt;0,ABS(W33-K33)&gt;0.01),1,0)</f>
        <v>0</v>
      </c>
      <c r="Y33" s="16" t="n">
        <f aca="false">IF(AND(M33=0,W33=0,L33&lt;About!$B$3),1,0)</f>
        <v>0</v>
      </c>
      <c r="Z33" s="16" t="n">
        <f aca="false">M33+SUM(O33:V33)+X33+Y33</f>
        <v>0</v>
      </c>
    </row>
    <row r="34" customFormat="false" ht="15" hidden="false" customHeight="false" outlineLevel="0" collapsed="false">
      <c r="A34" s="2" t="str">
        <f aca="false">Invoices!A34</f>
        <v>INV-10140</v>
      </c>
      <c r="B34" s="2" t="str">
        <f aca="false">Invoices!B34</f>
        <v>Northbridge Print Services</v>
      </c>
      <c r="C34" s="2" t="str">
        <f aca="false">IFERROR(INDEX(Vendor_Aliases!$B$2:$B$25,MATCH(UPPER(TRIM(B34)),Vendor_Aliases!$A$2:$A$25,0)),"UNKNOWN")</f>
        <v>V001</v>
      </c>
      <c r="D34" s="2" t="str">
        <f aca="false">IFERROR(INDEX(Vendors!$E$2:$E$11,MATCH(C34,Vendors!$A$2:$A$11,0)),"")</f>
        <v>Active</v>
      </c>
      <c r="E34" s="2" t="str">
        <f aca="false">IF(Invoices!C34="","",Invoices!C34)</f>
        <v>PO-4605</v>
      </c>
      <c r="F34" s="2" t="str">
        <f aca="false">IF(E34="","",IFERROR(INDEX(POs!$B$2:$B$61,MATCH(E34,POs!$A$2:$A$61,0)),"NOT FOUND"))</f>
        <v>V001</v>
      </c>
      <c r="G34" s="14" t="n">
        <f aca="false">IF(E34="","",IFERROR(INDEX(POs!$E$2:$E$61,MATCH(E34,POs!$A$2:$A$61,0)),""))</f>
        <v>8750</v>
      </c>
      <c r="H34" s="15" t="n">
        <f aca="false">Invoices!D34</f>
        <v>46206</v>
      </c>
      <c r="I34" s="14" t="n">
        <f aca="false">Invoices!E34</f>
        <v>4227.57</v>
      </c>
      <c r="J34" s="14" t="n">
        <f aca="false">Invoices!F34</f>
        <v>549.58</v>
      </c>
      <c r="K34" s="14" t="n">
        <f aca="false">Invoices!G34</f>
        <v>4777.15</v>
      </c>
      <c r="L34" s="15" t="n">
        <f aca="false">IFERROR(H34+INDEX(Vendors!$H$2:$H$11,MATCH(C34,Vendors!$A$2:$A$11,0)),H34+30)</f>
        <v>46236</v>
      </c>
      <c r="M34" s="16" t="n">
        <f aca="false">IF(COUNTIF($A$2:A34,A34)&gt;1,1,0)</f>
        <v>0</v>
      </c>
      <c r="N34" s="14" t="n">
        <f aca="false">IF(E34="","",SUMIFS($I$2:$I$97,$E$2:$E$97,E34,$M$2:$M$97,0))</f>
        <v>7634.57</v>
      </c>
      <c r="O34" s="16" t="n">
        <f aca="false">IF(C34="UNKNOWN",1,0)</f>
        <v>0</v>
      </c>
      <c r="P34" s="16" t="n">
        <f aca="false">IF(E34="",1,0)</f>
        <v>0</v>
      </c>
      <c r="Q34" s="16" t="n">
        <f aca="false">IF(F34="NOT FOUND",1,0)</f>
        <v>0</v>
      </c>
      <c r="R34" s="16" t="n">
        <f aca="false">IF(AND(F34&lt;&gt;"",F34&lt;&gt;"NOT FOUND",F34&lt;&gt;C34),1,0)</f>
        <v>0</v>
      </c>
      <c r="S34" s="16" t="n">
        <f aca="false">IF(AND(M34=0,ISNUMBER(G34),N34&gt;G34),1,0)</f>
        <v>0</v>
      </c>
      <c r="T34" s="16" t="n">
        <f aca="false">IF(ABS(I34+J34-K34)&gt;0.01,1,0)</f>
        <v>0</v>
      </c>
      <c r="U34" s="16" t="n">
        <f aca="false">IFERROR(IF(ABS(J34-ROUND(I34*INDEX(Vendors!$G$2:$G$11,MATCH(C34,Vendors!$A$2:$A$11,0)),2))&gt;0.01,1,0),0)</f>
        <v>0</v>
      </c>
      <c r="V34" s="16" t="n">
        <f aca="false">IF(D34="Inactive",1,0)</f>
        <v>0</v>
      </c>
      <c r="W34" s="14" t="n">
        <f aca="false">SUMIFS(Payments!$D$2:$D$69,Payments!$F$2:$F$69,A34)</f>
        <v>4777.15</v>
      </c>
      <c r="X34" s="16" t="n">
        <f aca="false">IF(AND(M34=0,W34&gt;0,ABS(W34-K34)&gt;0.01),1,0)</f>
        <v>0</v>
      </c>
      <c r="Y34" s="16" t="n">
        <f aca="false">IF(AND(M34=0,W34=0,L34&lt;About!$B$3),1,0)</f>
        <v>0</v>
      </c>
      <c r="Z34" s="16" t="n">
        <f aca="false">M34+SUM(O34:V34)+X34+Y34</f>
        <v>0</v>
      </c>
    </row>
    <row r="35" customFormat="false" ht="15" hidden="false" customHeight="false" outlineLevel="0" collapsed="false">
      <c r="A35" s="2" t="str">
        <f aca="false">Invoices!A35</f>
        <v>INV-10043</v>
      </c>
      <c r="B35" s="2" t="str">
        <f aca="false">Invoices!B35</f>
        <v>MAPLE MAILING SOLUTIONS </v>
      </c>
      <c r="C35" s="2" t="str">
        <f aca="false">IFERROR(INDEX(Vendor_Aliases!$B$2:$B$25,MATCH(UPPER(TRIM(B35)),Vendor_Aliases!$A$2:$A$25,0)),"UNKNOWN")</f>
        <v>V002</v>
      </c>
      <c r="D35" s="2" t="str">
        <f aca="false">IFERROR(INDEX(Vendors!$E$2:$E$11,MATCH(C35,Vendors!$A$2:$A$11,0)),"")</f>
        <v>Active</v>
      </c>
      <c r="E35" s="2" t="str">
        <f aca="false">IF(Invoices!C35="","",Invoices!C35)</f>
        <v>PO-4527</v>
      </c>
      <c r="F35" s="2" t="str">
        <f aca="false">IF(E35="","",IFERROR(INDEX(POs!$B$2:$B$61,MATCH(E35,POs!$A$2:$A$61,0)),"NOT FOUND"))</f>
        <v>V002</v>
      </c>
      <c r="G35" s="14" t="n">
        <f aca="false">IF(E35="","",IFERROR(INDEX(POs!$E$2:$E$61,MATCH(E35,POs!$A$2:$A$61,0)),""))</f>
        <v>18750</v>
      </c>
      <c r="H35" s="15" t="n">
        <f aca="false">Invoices!D35</f>
        <v>46210</v>
      </c>
      <c r="I35" s="14" t="n">
        <f aca="false">Invoices!E35</f>
        <v>6604.78</v>
      </c>
      <c r="J35" s="14" t="n">
        <f aca="false">Invoices!F35</f>
        <v>858.62</v>
      </c>
      <c r="K35" s="14" t="n">
        <f aca="false">Invoices!G35</f>
        <v>7463.4</v>
      </c>
      <c r="L35" s="15" t="n">
        <f aca="false">IFERROR(H35+INDEX(Vendors!$H$2:$H$11,MATCH(C35,Vendors!$A$2:$A$11,0)),H35+30)</f>
        <v>46240</v>
      </c>
      <c r="M35" s="16" t="n">
        <f aca="false">IF(COUNTIF($A$2:A35,A35)&gt;1,1,0)</f>
        <v>0</v>
      </c>
      <c r="N35" s="14" t="n">
        <f aca="false">IF(E35="","",SUMIFS($I$2:$I$97,$E$2:$E$97,E35,$M$2:$M$97,0))</f>
        <v>14580.81</v>
      </c>
      <c r="O35" s="16" t="n">
        <f aca="false">IF(C35="UNKNOWN",1,0)</f>
        <v>0</v>
      </c>
      <c r="P35" s="16" t="n">
        <f aca="false">IF(E35="",1,0)</f>
        <v>0</v>
      </c>
      <c r="Q35" s="16" t="n">
        <f aca="false">IF(F35="NOT FOUND",1,0)</f>
        <v>0</v>
      </c>
      <c r="R35" s="16" t="n">
        <f aca="false">IF(AND(F35&lt;&gt;"",F35&lt;&gt;"NOT FOUND",F35&lt;&gt;C35),1,0)</f>
        <v>0</v>
      </c>
      <c r="S35" s="16" t="n">
        <f aca="false">IF(AND(M35=0,ISNUMBER(G35),N35&gt;G35),1,0)</f>
        <v>0</v>
      </c>
      <c r="T35" s="16" t="n">
        <f aca="false">IF(ABS(I35+J35-K35)&gt;0.01,1,0)</f>
        <v>0</v>
      </c>
      <c r="U35" s="16" t="n">
        <f aca="false">IFERROR(IF(ABS(J35-ROUND(I35*INDEX(Vendors!$G$2:$G$11,MATCH(C35,Vendors!$A$2:$A$11,0)),2))&gt;0.01,1,0),0)</f>
        <v>0</v>
      </c>
      <c r="V35" s="16" t="n">
        <f aca="false">IF(D35="Inactive",1,0)</f>
        <v>0</v>
      </c>
      <c r="W35" s="14" t="n">
        <f aca="false">SUMIFS(Payments!$D$2:$D$69,Payments!$F$2:$F$69,A35)</f>
        <v>3731.7</v>
      </c>
      <c r="X35" s="16" t="n">
        <f aca="false">IF(AND(M35=0,W35&gt;0,ABS(W35-K35)&gt;0.01),1,0)</f>
        <v>1</v>
      </c>
      <c r="Y35" s="16" t="n">
        <f aca="false">IF(AND(M35=0,W35=0,L35&lt;About!$B$3),1,0)</f>
        <v>0</v>
      </c>
      <c r="Z35" s="16" t="n">
        <f aca="false">M35+SUM(O35:V35)+X35+Y35</f>
        <v>1</v>
      </c>
    </row>
    <row r="36" customFormat="false" ht="15" hidden="false" customHeight="false" outlineLevel="0" collapsed="false">
      <c r="A36" s="2" t="str">
        <f aca="false">Invoices!A36</f>
        <v>INV-10067</v>
      </c>
      <c r="B36" s="2" t="str">
        <f aca="false">Invoices!B36</f>
        <v>lakeshore envelope co.</v>
      </c>
      <c r="C36" s="2" t="str">
        <f aca="false">IFERROR(INDEX(Vendor_Aliases!$B$2:$B$25,MATCH(UPPER(TRIM(B36)),Vendor_Aliases!$A$2:$A$25,0)),"UNKNOWN")</f>
        <v>V003</v>
      </c>
      <c r="D36" s="2" t="str">
        <f aca="false">IFERROR(INDEX(Vendors!$E$2:$E$11,MATCH(C36,Vendors!$A$2:$A$11,0)),"")</f>
        <v>Active</v>
      </c>
      <c r="E36" s="2" t="str">
        <f aca="false">IF(Invoices!C36="","",Invoices!C36)</f>
        <v/>
      </c>
      <c r="F36" s="2" t="str">
        <f aca="false">IF(E36="","",IFERROR(INDEX(POs!$B$2:$B$61,MATCH(E36,POs!$A$2:$A$61,0)),"NOT FOUND"))</f>
        <v/>
      </c>
      <c r="G36" s="14" t="str">
        <f aca="false">IF(E36="","",IFERROR(INDEX(POs!$E$2:$E$61,MATCH(E36,POs!$A$2:$A$61,0)),""))</f>
        <v/>
      </c>
      <c r="H36" s="15" t="n">
        <f aca="false">Invoices!D36</f>
        <v>46218</v>
      </c>
      <c r="I36" s="14" t="n">
        <f aca="false">Invoices!E36</f>
        <v>2076.69</v>
      </c>
      <c r="J36" s="14" t="n">
        <f aca="false">Invoices!F36</f>
        <v>269.97</v>
      </c>
      <c r="K36" s="14" t="n">
        <f aca="false">Invoices!G36</f>
        <v>2346.66</v>
      </c>
      <c r="L36" s="15" t="n">
        <f aca="false">IFERROR(H36+INDEX(Vendors!$H$2:$H$11,MATCH(C36,Vendors!$A$2:$A$11,0)),H36+30)</f>
        <v>46263</v>
      </c>
      <c r="M36" s="16" t="n">
        <f aca="false">IF(COUNTIF($A$2:A36,A36)&gt;1,1,0)</f>
        <v>0</v>
      </c>
      <c r="N36" s="14" t="str">
        <f aca="false">IF(E36="","",SUMIFS($I$2:$I$97,$E$2:$E$97,E36,$M$2:$M$97,0))</f>
        <v/>
      </c>
      <c r="O36" s="16" t="n">
        <f aca="false">IF(C36="UNKNOWN",1,0)</f>
        <v>0</v>
      </c>
      <c r="P36" s="16" t="n">
        <f aca="false">IF(E36="",1,0)</f>
        <v>1</v>
      </c>
      <c r="Q36" s="16" t="n">
        <f aca="false">IF(F36="NOT FOUND",1,0)</f>
        <v>0</v>
      </c>
      <c r="R36" s="16" t="n">
        <f aca="false">IF(AND(F36&lt;&gt;"",F36&lt;&gt;"NOT FOUND",F36&lt;&gt;C36),1,0)</f>
        <v>0</v>
      </c>
      <c r="S36" s="16" t="n">
        <f aca="false">IF(AND(M36=0,ISNUMBER(G36),N36&gt;G36),1,0)</f>
        <v>0</v>
      </c>
      <c r="T36" s="16" t="n">
        <f aca="false">IF(ABS(I36+J36-K36)&gt;0.01,1,0)</f>
        <v>0</v>
      </c>
      <c r="U36" s="16" t="n">
        <f aca="false">IFERROR(IF(ABS(J36-ROUND(I36*INDEX(Vendors!$G$2:$G$11,MATCH(C36,Vendors!$A$2:$A$11,0)),2))&gt;0.01,1,0),0)</f>
        <v>0</v>
      </c>
      <c r="V36" s="16" t="n">
        <f aca="false">IF(D36="Inactive",1,0)</f>
        <v>0</v>
      </c>
      <c r="W36" s="14" t="n">
        <f aca="false">SUMIFS(Payments!$D$2:$D$69,Payments!$F$2:$F$69,A36)</f>
        <v>2346.66</v>
      </c>
      <c r="X36" s="16" t="n">
        <f aca="false">IF(AND(M36=0,W36&gt;0,ABS(W36-K36)&gt;0.01),1,0)</f>
        <v>0</v>
      </c>
      <c r="Y36" s="16" t="n">
        <f aca="false">IF(AND(M36=0,W36=0,L36&lt;About!$B$3),1,0)</f>
        <v>0</v>
      </c>
      <c r="Z36" s="16" t="n">
        <f aca="false">M36+SUM(O36:V36)+X36+Y36</f>
        <v>1</v>
      </c>
    </row>
    <row r="37" customFormat="false" ht="15" hidden="false" customHeight="false" outlineLevel="0" collapsed="false">
      <c r="A37" s="2" t="str">
        <f aca="false">Invoices!A37</f>
        <v>INV-10096</v>
      </c>
      <c r="B37" s="2" t="str">
        <f aca="false">Invoices!B37</f>
        <v>Summit Digital Print Inc.</v>
      </c>
      <c r="C37" s="2" t="str">
        <f aca="false">IFERROR(INDEX(Vendor_Aliases!$B$2:$B$25,MATCH(UPPER(TRIM(B37)),Vendor_Aliases!$A$2:$A$25,0)),"UNKNOWN")</f>
        <v>V004</v>
      </c>
      <c r="D37" s="2" t="str">
        <f aca="false">IFERROR(INDEX(Vendors!$E$2:$E$11,MATCH(C37,Vendors!$A$2:$A$11,0)),"")</f>
        <v>Active</v>
      </c>
      <c r="E37" s="2" t="str">
        <f aca="false">IF(Invoices!C37="","",Invoices!C37)</f>
        <v>PO-4563</v>
      </c>
      <c r="F37" s="2" t="str">
        <f aca="false">IF(E37="","",IFERROR(INDEX(POs!$B$2:$B$61,MATCH(E37,POs!$A$2:$A$61,0)),"NOT FOUND"))</f>
        <v>V004</v>
      </c>
      <c r="G37" s="14" t="n">
        <f aca="false">IF(E37="","",IFERROR(INDEX(POs!$E$2:$E$61,MATCH(E37,POs!$A$2:$A$61,0)),""))</f>
        <v>14100</v>
      </c>
      <c r="H37" s="15" t="n">
        <f aca="false">Invoices!D37</f>
        <v>46244</v>
      </c>
      <c r="I37" s="14" t="n">
        <f aca="false">Invoices!E37</f>
        <v>12038.5</v>
      </c>
      <c r="J37" s="14" t="n">
        <f aca="false">Invoices!F37</f>
        <v>1802.77</v>
      </c>
      <c r="K37" s="14" t="n">
        <f aca="false">Invoices!G37</f>
        <v>13841.27</v>
      </c>
      <c r="L37" s="15" t="n">
        <f aca="false">IFERROR(H37+INDEX(Vendors!$H$2:$H$11,MATCH(C37,Vendors!$A$2:$A$11,0)),H37+30)</f>
        <v>46274</v>
      </c>
      <c r="M37" s="16" t="n">
        <f aca="false">IF(COUNTIF($A$2:A37,A37)&gt;1,1,0)</f>
        <v>0</v>
      </c>
      <c r="N37" s="14" t="n">
        <f aca="false">IF(E37="","",SUMIFS($I$2:$I$97,$E$2:$E$97,E37,$M$2:$M$97,0))</f>
        <v>12038.5</v>
      </c>
      <c r="O37" s="16" t="n">
        <f aca="false">IF(C37="UNKNOWN",1,0)</f>
        <v>0</v>
      </c>
      <c r="P37" s="16" t="n">
        <f aca="false">IF(E37="",1,0)</f>
        <v>0</v>
      </c>
      <c r="Q37" s="16" t="n">
        <f aca="false">IF(F37="NOT FOUND",1,0)</f>
        <v>0</v>
      </c>
      <c r="R37" s="16" t="n">
        <f aca="false">IF(AND(F37&lt;&gt;"",F37&lt;&gt;"NOT FOUND",F37&lt;&gt;C37),1,0)</f>
        <v>0</v>
      </c>
      <c r="S37" s="16" t="n">
        <f aca="false">IF(AND(M37=0,ISNUMBER(G37),N37&gt;G37),1,0)</f>
        <v>0</v>
      </c>
      <c r="T37" s="16" t="n">
        <f aca="false">IF(ABS(I37+J37-K37)&gt;0.01,1,0)</f>
        <v>0</v>
      </c>
      <c r="U37" s="16" t="n">
        <f aca="false">IFERROR(IF(ABS(J37-ROUND(I37*INDEX(Vendors!$G$2:$G$11,MATCH(C37,Vendors!$A$2:$A$11,0)),2))&gt;0.01,1,0),0)</f>
        <v>0</v>
      </c>
      <c r="V37" s="16" t="n">
        <f aca="false">IF(D37="Inactive",1,0)</f>
        <v>0</v>
      </c>
      <c r="W37" s="14" t="n">
        <f aca="false">SUMIFS(Payments!$D$2:$D$69,Payments!$F$2:$F$69,A37)</f>
        <v>13841.27</v>
      </c>
      <c r="X37" s="16" t="n">
        <f aca="false">IF(AND(M37=0,W37&gt;0,ABS(W37-K37)&gt;0.01),1,0)</f>
        <v>0</v>
      </c>
      <c r="Y37" s="16" t="n">
        <f aca="false">IF(AND(M37=0,W37=0,L37&lt;About!$B$3),1,0)</f>
        <v>0</v>
      </c>
      <c r="Z37" s="16" t="n">
        <f aca="false">M37+SUM(O37:V37)+X37+Y37</f>
        <v>0</v>
      </c>
    </row>
    <row r="38" customFormat="false" ht="15" hidden="false" customHeight="false" outlineLevel="0" collapsed="false">
      <c r="A38" s="2" t="str">
        <f aca="false">Invoices!A38</f>
        <v>INV-10090</v>
      </c>
      <c r="B38" s="2" t="str">
        <f aca="false">Invoices!B38</f>
        <v>SUMMIT DIGITAL PRINT INC.</v>
      </c>
      <c r="C38" s="2" t="str">
        <f aca="false">IFERROR(INDEX(Vendor_Aliases!$B$2:$B$25,MATCH(UPPER(TRIM(B38)),Vendor_Aliases!$A$2:$A$25,0)),"UNKNOWN")</f>
        <v>V004</v>
      </c>
      <c r="D38" s="2" t="str">
        <f aca="false">IFERROR(INDEX(Vendors!$E$2:$E$11,MATCH(C38,Vendors!$A$2:$A$11,0)),"")</f>
        <v>Active</v>
      </c>
      <c r="E38" s="2" t="str">
        <f aca="false">IF(Invoices!C38="","",Invoices!C38)</f>
        <v>PO-4560</v>
      </c>
      <c r="F38" s="2" t="str">
        <f aca="false">IF(E38="","",IFERROR(INDEX(POs!$B$2:$B$61,MATCH(E38,POs!$A$2:$A$61,0)),"NOT FOUND"))</f>
        <v>V004</v>
      </c>
      <c r="G38" s="14" t="n">
        <f aca="false">IF(E38="","",IFERROR(INDEX(POs!$E$2:$E$61,MATCH(E38,POs!$A$2:$A$61,0)),""))</f>
        <v>3700</v>
      </c>
      <c r="H38" s="15" t="n">
        <f aca="false">Invoices!D38</f>
        <v>46079</v>
      </c>
      <c r="I38" s="14" t="n">
        <f aca="false">Invoices!E38</f>
        <v>1292.2</v>
      </c>
      <c r="J38" s="14" t="n">
        <f aca="false">Invoices!F38</f>
        <v>193.51</v>
      </c>
      <c r="K38" s="14" t="n">
        <f aca="false">Invoices!G38</f>
        <v>1485.71</v>
      </c>
      <c r="L38" s="15" t="n">
        <f aca="false">IFERROR(H38+INDEX(Vendors!$H$2:$H$11,MATCH(C38,Vendors!$A$2:$A$11,0)),H38+30)</f>
        <v>46109</v>
      </c>
      <c r="M38" s="16" t="n">
        <f aca="false">IF(COUNTIF($A$2:A38,A38)&gt;1,1,0)</f>
        <v>0</v>
      </c>
      <c r="N38" s="14" t="n">
        <f aca="false">IF(E38="","",SUMIFS($I$2:$I$97,$E$2:$E$97,E38,$M$2:$M$97,0))</f>
        <v>3040.6</v>
      </c>
      <c r="O38" s="16" t="n">
        <f aca="false">IF(C38="UNKNOWN",1,0)</f>
        <v>0</v>
      </c>
      <c r="P38" s="16" t="n">
        <f aca="false">IF(E38="",1,0)</f>
        <v>0</v>
      </c>
      <c r="Q38" s="16" t="n">
        <f aca="false">IF(F38="NOT FOUND",1,0)</f>
        <v>0</v>
      </c>
      <c r="R38" s="16" t="n">
        <f aca="false">IF(AND(F38&lt;&gt;"",F38&lt;&gt;"NOT FOUND",F38&lt;&gt;C38),1,0)</f>
        <v>0</v>
      </c>
      <c r="S38" s="16" t="n">
        <f aca="false">IF(AND(M38=0,ISNUMBER(G38),N38&gt;G38),1,0)</f>
        <v>0</v>
      </c>
      <c r="T38" s="16" t="n">
        <f aca="false">IF(ABS(I38+J38-K38)&gt;0.01,1,0)</f>
        <v>0</v>
      </c>
      <c r="U38" s="16" t="n">
        <f aca="false">IFERROR(IF(ABS(J38-ROUND(I38*INDEX(Vendors!$G$2:$G$11,MATCH(C38,Vendors!$A$2:$A$11,0)),2))&gt;0.01,1,0),0)</f>
        <v>0</v>
      </c>
      <c r="V38" s="16" t="n">
        <f aca="false">IF(D38="Inactive",1,0)</f>
        <v>0</v>
      </c>
      <c r="W38" s="14" t="n">
        <f aca="false">SUMIFS(Payments!$D$2:$D$69,Payments!$F$2:$F$69,A38)</f>
        <v>1485.71</v>
      </c>
      <c r="X38" s="16" t="n">
        <f aca="false">IF(AND(M38=0,W38&gt;0,ABS(W38-K38)&gt;0.01),1,0)</f>
        <v>0</v>
      </c>
      <c r="Y38" s="16" t="n">
        <f aca="false">IF(AND(M38=0,W38=0,L38&lt;About!$B$3),1,0)</f>
        <v>0</v>
      </c>
      <c r="Z38" s="16" t="n">
        <f aca="false">M38+SUM(O38:V38)+X38+Y38</f>
        <v>0</v>
      </c>
    </row>
    <row r="39" customFormat="false" ht="15" hidden="false" customHeight="false" outlineLevel="0" collapsed="false">
      <c r="A39" s="2" t="str">
        <f aca="false">Invoices!A39</f>
        <v>INV-10183</v>
      </c>
      <c r="B39" s="2" t="str">
        <f aca="false">Invoices!B39</f>
        <v>Cedarline Paper Supply</v>
      </c>
      <c r="C39" s="2" t="str">
        <f aca="false">IFERROR(INDEX(Vendor_Aliases!$B$2:$B$25,MATCH(UPPER(TRIM(B39)),Vendor_Aliases!$A$2:$A$25,0)),"UNKNOWN")</f>
        <v>V006</v>
      </c>
      <c r="D39" s="2" t="str">
        <f aca="false">IFERROR(INDEX(Vendors!$E$2:$E$11,MATCH(C39,Vendors!$A$2:$A$11,0)),"")</f>
        <v>Active</v>
      </c>
      <c r="E39" s="2" t="str">
        <f aca="false">IF(Invoices!C39="","",Invoices!C39)</f>
        <v>PO-4633</v>
      </c>
      <c r="F39" s="2" t="str">
        <f aca="false">IF(E39="","",IFERROR(INDEX(POs!$B$2:$B$61,MATCH(E39,POs!$A$2:$A$61,0)),"NOT FOUND"))</f>
        <v>V006</v>
      </c>
      <c r="G39" s="14" t="n">
        <f aca="false">IF(E39="","",IFERROR(INDEX(POs!$E$2:$E$61,MATCH(E39,POs!$A$2:$A$61,0)),""))</f>
        <v>2600</v>
      </c>
      <c r="H39" s="15" t="n">
        <f aca="false">Invoices!D39</f>
        <v>46259</v>
      </c>
      <c r="I39" s="14" t="n">
        <f aca="false">Invoices!E39</f>
        <v>1202.21</v>
      </c>
      <c r="J39" s="14" t="n">
        <f aca="false">Invoices!F39</f>
        <v>156.29</v>
      </c>
      <c r="K39" s="14" t="n">
        <f aca="false">Invoices!G39</f>
        <v>1358.5</v>
      </c>
      <c r="L39" s="15" t="n">
        <f aca="false">IFERROR(H39+INDEX(Vendors!$H$2:$H$11,MATCH(C39,Vendors!$A$2:$A$11,0)),H39+30)</f>
        <v>46304</v>
      </c>
      <c r="M39" s="16" t="n">
        <f aca="false">IF(COUNTIF($A$2:A39,A39)&gt;1,1,0)</f>
        <v>0</v>
      </c>
      <c r="N39" s="14" t="n">
        <f aca="false">IF(E39="","",SUMIFS($I$2:$I$97,$E$2:$E$97,E39,$M$2:$M$97,0))</f>
        <v>2228.07</v>
      </c>
      <c r="O39" s="16" t="n">
        <f aca="false">IF(C39="UNKNOWN",1,0)</f>
        <v>0</v>
      </c>
      <c r="P39" s="16" t="n">
        <f aca="false">IF(E39="",1,0)</f>
        <v>0</v>
      </c>
      <c r="Q39" s="16" t="n">
        <f aca="false">IF(F39="NOT FOUND",1,0)</f>
        <v>0</v>
      </c>
      <c r="R39" s="16" t="n">
        <f aca="false">IF(AND(F39&lt;&gt;"",F39&lt;&gt;"NOT FOUND",F39&lt;&gt;C39),1,0)</f>
        <v>0</v>
      </c>
      <c r="S39" s="16" t="n">
        <f aca="false">IF(AND(M39=0,ISNUMBER(G39),N39&gt;G39),1,0)</f>
        <v>0</v>
      </c>
      <c r="T39" s="16" t="n">
        <f aca="false">IF(ABS(I39+J39-K39)&gt;0.01,1,0)</f>
        <v>0</v>
      </c>
      <c r="U39" s="16" t="n">
        <f aca="false">IFERROR(IF(ABS(J39-ROUND(I39*INDEX(Vendors!$G$2:$G$11,MATCH(C39,Vendors!$A$2:$A$11,0)),2))&gt;0.01,1,0),0)</f>
        <v>0</v>
      </c>
      <c r="V39" s="16" t="n">
        <f aca="false">IF(D39="Inactive",1,0)</f>
        <v>0</v>
      </c>
      <c r="W39" s="14" t="n">
        <f aca="false">SUMIFS(Payments!$D$2:$D$69,Payments!$F$2:$F$69,A39)</f>
        <v>0</v>
      </c>
      <c r="X39" s="16" t="n">
        <f aca="false">IF(AND(M39=0,W39&gt;0,ABS(W39-K39)&gt;0.01),1,0)</f>
        <v>0</v>
      </c>
      <c r="Y39" s="16" t="n">
        <f aca="false">IF(AND(M39=0,W39=0,L39&lt;About!$B$3),1,0)</f>
        <v>0</v>
      </c>
      <c r="Z39" s="16" t="n">
        <f aca="false">M39+SUM(O39:V39)+X39+Y39</f>
        <v>0</v>
      </c>
    </row>
    <row r="40" customFormat="false" ht="15" hidden="false" customHeight="false" outlineLevel="0" collapsed="false">
      <c r="A40" s="2" t="str">
        <f aca="false">Invoices!A40</f>
        <v>INV-10109</v>
      </c>
      <c r="B40" s="2" t="str">
        <f aca="false">Invoices!B40</f>
        <v>Summit Digital Print Inc.</v>
      </c>
      <c r="C40" s="2" t="str">
        <f aca="false">IFERROR(INDEX(Vendor_Aliases!$B$2:$B$25,MATCH(UPPER(TRIM(B40)),Vendor_Aliases!$A$2:$A$25,0)),"UNKNOWN")</f>
        <v>V004</v>
      </c>
      <c r="D40" s="2" t="str">
        <f aca="false">IFERROR(INDEX(Vendors!$E$2:$E$11,MATCH(C40,Vendors!$A$2:$A$11,0)),"")</f>
        <v>Active</v>
      </c>
      <c r="E40" s="2" t="str">
        <f aca="false">IF(Invoices!C40="","",Invoices!C40)</f>
        <v>PO-4579</v>
      </c>
      <c r="F40" s="2" t="str">
        <f aca="false">IF(E40="","",IFERROR(INDEX(POs!$B$2:$B$61,MATCH(E40,POs!$A$2:$A$61,0)),"NOT FOUND"))</f>
        <v>V004</v>
      </c>
      <c r="G40" s="14" t="n">
        <f aca="false">IF(E40="","",IFERROR(INDEX(POs!$E$2:$E$61,MATCH(E40,POs!$A$2:$A$61,0)),""))</f>
        <v>9100</v>
      </c>
      <c r="H40" s="15" t="n">
        <f aca="false">Invoices!D40</f>
        <v>46068</v>
      </c>
      <c r="I40" s="14" t="n">
        <f aca="false">Invoices!E40</f>
        <v>7988.99</v>
      </c>
      <c r="J40" s="14" t="n">
        <f aca="false">Invoices!F40</f>
        <v>1196.35</v>
      </c>
      <c r="K40" s="14" t="n">
        <f aca="false">Invoices!G40</f>
        <v>9185.34</v>
      </c>
      <c r="L40" s="15" t="n">
        <f aca="false">IFERROR(H40+INDEX(Vendors!$H$2:$H$11,MATCH(C40,Vendors!$A$2:$A$11,0)),H40+30)</f>
        <v>46098</v>
      </c>
      <c r="M40" s="16" t="n">
        <f aca="false">IF(COUNTIF($A$2:A40,A40)&gt;1,1,0)</f>
        <v>0</v>
      </c>
      <c r="N40" s="14" t="n">
        <f aca="false">IF(E40="","",SUMIFS($I$2:$I$97,$E$2:$E$97,E40,$M$2:$M$97,0))</f>
        <v>7988.99</v>
      </c>
      <c r="O40" s="16" t="n">
        <f aca="false">IF(C40="UNKNOWN",1,0)</f>
        <v>0</v>
      </c>
      <c r="P40" s="16" t="n">
        <f aca="false">IF(E40="",1,0)</f>
        <v>0</v>
      </c>
      <c r="Q40" s="16" t="n">
        <f aca="false">IF(F40="NOT FOUND",1,0)</f>
        <v>0</v>
      </c>
      <c r="R40" s="16" t="n">
        <f aca="false">IF(AND(F40&lt;&gt;"",F40&lt;&gt;"NOT FOUND",F40&lt;&gt;C40),1,0)</f>
        <v>0</v>
      </c>
      <c r="S40" s="16" t="n">
        <f aca="false">IF(AND(M40=0,ISNUMBER(G40),N40&gt;G40),1,0)</f>
        <v>0</v>
      </c>
      <c r="T40" s="16" t="n">
        <f aca="false">IF(ABS(I40+J40-K40)&gt;0.01,1,0)</f>
        <v>0</v>
      </c>
      <c r="U40" s="16" t="n">
        <f aca="false">IFERROR(IF(ABS(J40-ROUND(I40*INDEX(Vendors!$G$2:$G$11,MATCH(C40,Vendors!$A$2:$A$11,0)),2))&gt;0.01,1,0),0)</f>
        <v>0</v>
      </c>
      <c r="V40" s="16" t="n">
        <f aca="false">IF(D40="Inactive",1,0)</f>
        <v>0</v>
      </c>
      <c r="W40" s="14" t="n">
        <f aca="false">SUMIFS(Payments!$D$2:$D$69,Payments!$F$2:$F$69,A40)</f>
        <v>0</v>
      </c>
      <c r="X40" s="16" t="n">
        <f aca="false">IF(AND(M40=0,W40&gt;0,ABS(W40-K40)&gt;0.01),1,0)</f>
        <v>0</v>
      </c>
      <c r="Y40" s="16" t="n">
        <f aca="false">IF(AND(M40=0,W40=0,L40&lt;About!$B$3),1,0)</f>
        <v>1</v>
      </c>
      <c r="Z40" s="16" t="n">
        <f aca="false">M40+SUM(O40:V40)+X40+Y40</f>
        <v>1</v>
      </c>
    </row>
    <row r="41" customFormat="false" ht="15" hidden="false" customHeight="false" outlineLevel="0" collapsed="false">
      <c r="A41" s="2" t="str">
        <f aca="false">Invoices!A41</f>
        <v>INV-10113</v>
      </c>
      <c r="B41" s="2" t="str">
        <f aca="false">Invoices!B41</f>
        <v>Granite Press Ltd.</v>
      </c>
      <c r="C41" s="2" t="str">
        <f aca="false">IFERROR(INDEX(Vendor_Aliases!$B$2:$B$25,MATCH(UPPER(TRIM(B41)),Vendor_Aliases!$A$2:$A$25,0)),"UNKNOWN")</f>
        <v>V009</v>
      </c>
      <c r="D41" s="2" t="str">
        <f aca="false">IFERROR(INDEX(Vendors!$E$2:$E$11,MATCH(C41,Vendors!$A$2:$A$11,0)),"")</f>
        <v>Active</v>
      </c>
      <c r="E41" s="2" t="str">
        <f aca="false">IF(Invoices!C41="","",Invoices!C41)</f>
        <v>PO-4586</v>
      </c>
      <c r="F41" s="2" t="str">
        <f aca="false">IF(E41="","",IFERROR(INDEX(POs!$B$2:$B$61,MATCH(E41,POs!$A$2:$A$61,0)),"NOT FOUND"))</f>
        <v>V009</v>
      </c>
      <c r="G41" s="14" t="n">
        <f aca="false">IF(E41="","",IFERROR(INDEX(POs!$E$2:$E$61,MATCH(E41,POs!$A$2:$A$61,0)),""))</f>
        <v>5950</v>
      </c>
      <c r="H41" s="15" t="n">
        <f aca="false">Invoices!D41</f>
        <v>46146</v>
      </c>
      <c r="I41" s="14" t="n">
        <f aca="false">Invoices!E41</f>
        <v>5861.11</v>
      </c>
      <c r="J41" s="14" t="n">
        <f aca="false">Invoices!F41</f>
        <v>293.06</v>
      </c>
      <c r="K41" s="14" t="n">
        <f aca="false">Invoices!G41</f>
        <v>6154.17</v>
      </c>
      <c r="L41" s="15" t="n">
        <f aca="false">IFERROR(H41+INDEX(Vendors!$H$2:$H$11,MATCH(C41,Vendors!$A$2:$A$11,0)),H41+30)</f>
        <v>46206</v>
      </c>
      <c r="M41" s="16" t="n">
        <f aca="false">IF(COUNTIF($A$2:A41,A41)&gt;1,1,0)</f>
        <v>0</v>
      </c>
      <c r="N41" s="14" t="n">
        <f aca="false">IF(E41="","",SUMIFS($I$2:$I$97,$E$2:$E$97,E41,$M$2:$M$97,0))</f>
        <v>5861.11</v>
      </c>
      <c r="O41" s="16" t="n">
        <f aca="false">IF(C41="UNKNOWN",1,0)</f>
        <v>0</v>
      </c>
      <c r="P41" s="16" t="n">
        <f aca="false">IF(E41="",1,0)</f>
        <v>0</v>
      </c>
      <c r="Q41" s="16" t="n">
        <f aca="false">IF(F41="NOT FOUND",1,0)</f>
        <v>0</v>
      </c>
      <c r="R41" s="16" t="n">
        <f aca="false">IF(AND(F41&lt;&gt;"",F41&lt;&gt;"NOT FOUND",F41&lt;&gt;C41),1,0)</f>
        <v>0</v>
      </c>
      <c r="S41" s="16" t="n">
        <f aca="false">IF(AND(M41=0,ISNUMBER(G41),N41&gt;G41),1,0)</f>
        <v>0</v>
      </c>
      <c r="T41" s="16" t="n">
        <f aca="false">IF(ABS(I41+J41-K41)&gt;0.01,1,0)</f>
        <v>0</v>
      </c>
      <c r="U41" s="16" t="n">
        <f aca="false">IFERROR(IF(ABS(J41-ROUND(I41*INDEX(Vendors!$G$2:$G$11,MATCH(C41,Vendors!$A$2:$A$11,0)),2))&gt;0.01,1,0),0)</f>
        <v>0</v>
      </c>
      <c r="V41" s="16" t="n">
        <f aca="false">IF(D41="Inactive",1,0)</f>
        <v>0</v>
      </c>
      <c r="W41" s="14" t="n">
        <f aca="false">SUMIFS(Payments!$D$2:$D$69,Payments!$F$2:$F$69,A41)</f>
        <v>6154.17</v>
      </c>
      <c r="X41" s="16" t="n">
        <f aca="false">IF(AND(M41=0,W41&gt;0,ABS(W41-K41)&gt;0.01),1,0)</f>
        <v>0</v>
      </c>
      <c r="Y41" s="16" t="n">
        <f aca="false">IF(AND(M41=0,W41=0,L41&lt;About!$B$3),1,0)</f>
        <v>0</v>
      </c>
      <c r="Z41" s="16" t="n">
        <f aca="false">M41+SUM(O41:V41)+X41+Y41</f>
        <v>0</v>
      </c>
    </row>
    <row r="42" customFormat="false" ht="15" hidden="false" customHeight="false" outlineLevel="0" collapsed="false">
      <c r="A42" s="2" t="str">
        <f aca="false">Invoices!A42</f>
        <v>INV-10021</v>
      </c>
      <c r="B42" s="2" t="str">
        <f aca="false">Invoices!B42</f>
        <v>Maple Mailing</v>
      </c>
      <c r="C42" s="2" t="str">
        <f aca="false">IFERROR(INDEX(Vendor_Aliases!$B$2:$B$25,MATCH(UPPER(TRIM(B42)),Vendor_Aliases!$A$2:$A$25,0)),"UNKNOWN")</f>
        <v>V002</v>
      </c>
      <c r="D42" s="2" t="str">
        <f aca="false">IFERROR(INDEX(Vendors!$E$2:$E$11,MATCH(C42,Vendors!$A$2:$A$11,0)),"")</f>
        <v>Active</v>
      </c>
      <c r="E42" s="2" t="str">
        <f aca="false">IF(Invoices!C42="","",Invoices!C42)</f>
        <v>PO-4511</v>
      </c>
      <c r="F42" s="2" t="str">
        <f aca="false">IF(E42="","",IFERROR(INDEX(POs!$B$2:$B$61,MATCH(E42,POs!$A$2:$A$61,0)),"NOT FOUND"))</f>
        <v>V002</v>
      </c>
      <c r="G42" s="14" t="n">
        <f aca="false">IF(E42="","",IFERROR(INDEX(POs!$E$2:$E$61,MATCH(E42,POs!$A$2:$A$61,0)),""))</f>
        <v>3100</v>
      </c>
      <c r="H42" s="15" t="n">
        <f aca="false">Invoices!D42</f>
        <v>46261</v>
      </c>
      <c r="I42" s="14" t="n">
        <f aca="false">Invoices!E42</f>
        <v>2015</v>
      </c>
      <c r="J42" s="14" t="n">
        <f aca="false">Invoices!F42</f>
        <v>261.95</v>
      </c>
      <c r="K42" s="14" t="n">
        <f aca="false">Invoices!G42</f>
        <v>2236.95</v>
      </c>
      <c r="L42" s="15" t="n">
        <f aca="false">IFERROR(H42+INDEX(Vendors!$H$2:$H$11,MATCH(C42,Vendors!$A$2:$A$11,0)),H42+30)</f>
        <v>46291</v>
      </c>
      <c r="M42" s="16" t="n">
        <f aca="false">IF(COUNTIF($A$2:A42,A42)&gt;1,1,0)</f>
        <v>0</v>
      </c>
      <c r="N42" s="14" t="n">
        <f aca="false">IF(E42="","",SUMIFS($I$2:$I$97,$E$2:$E$97,E42,$M$2:$M$97,0))</f>
        <v>3627</v>
      </c>
      <c r="O42" s="16" t="n">
        <f aca="false">IF(C42="UNKNOWN",1,0)</f>
        <v>0</v>
      </c>
      <c r="P42" s="16" t="n">
        <f aca="false">IF(E42="",1,0)</f>
        <v>0</v>
      </c>
      <c r="Q42" s="16" t="n">
        <f aca="false">IF(F42="NOT FOUND",1,0)</f>
        <v>0</v>
      </c>
      <c r="R42" s="16" t="n">
        <f aca="false">IF(AND(F42&lt;&gt;"",F42&lt;&gt;"NOT FOUND",F42&lt;&gt;C42),1,0)</f>
        <v>0</v>
      </c>
      <c r="S42" s="16" t="n">
        <f aca="false">IF(AND(M42=0,ISNUMBER(G42),N42&gt;G42),1,0)</f>
        <v>1</v>
      </c>
      <c r="T42" s="16" t="n">
        <f aca="false">IF(ABS(I42+J42-K42)&gt;0.01,1,0)</f>
        <v>1</v>
      </c>
      <c r="U42" s="16" t="n">
        <f aca="false">IFERROR(IF(ABS(J42-ROUND(I42*INDEX(Vendors!$G$2:$G$11,MATCH(C42,Vendors!$A$2:$A$11,0)),2))&gt;0.01,1,0),0)</f>
        <v>0</v>
      </c>
      <c r="V42" s="16" t="n">
        <f aca="false">IF(D42="Inactive",1,0)</f>
        <v>0</v>
      </c>
      <c r="W42" s="14" t="n">
        <f aca="false">SUMIFS(Payments!$D$2:$D$69,Payments!$F$2:$F$69,A42)</f>
        <v>2236.95</v>
      </c>
      <c r="X42" s="16" t="n">
        <f aca="false">IF(AND(M42=0,W42&gt;0,ABS(W42-K42)&gt;0.01),1,0)</f>
        <v>0</v>
      </c>
      <c r="Y42" s="16" t="n">
        <f aca="false">IF(AND(M42=0,W42=0,L42&lt;About!$B$3),1,0)</f>
        <v>0</v>
      </c>
      <c r="Z42" s="16" t="n">
        <f aca="false">M42+SUM(O42:V42)+X42+Y42</f>
        <v>2</v>
      </c>
    </row>
    <row r="43" customFormat="false" ht="15" hidden="false" customHeight="false" outlineLevel="0" collapsed="false">
      <c r="A43" s="2" t="str">
        <f aca="false">Invoices!A43</f>
        <v>INV-10079</v>
      </c>
      <c r="B43" s="2" t="str">
        <f aca="false">Invoices!B43</f>
        <v>Lakeshore Envelope Co.</v>
      </c>
      <c r="C43" s="2" t="str">
        <f aca="false">IFERROR(INDEX(Vendor_Aliases!$B$2:$B$25,MATCH(UPPER(TRIM(B43)),Vendor_Aliases!$A$2:$A$25,0)),"UNKNOWN")</f>
        <v>V003</v>
      </c>
      <c r="D43" s="2" t="str">
        <f aca="false">IFERROR(INDEX(Vendors!$E$2:$E$11,MATCH(C43,Vendors!$A$2:$A$11,0)),"")</f>
        <v>Active</v>
      </c>
      <c r="E43" s="2" t="str">
        <f aca="false">IF(Invoices!C43="","",Invoices!C43)</f>
        <v>PO-4553</v>
      </c>
      <c r="F43" s="2" t="str">
        <f aca="false">IF(E43="","",IFERROR(INDEX(POs!$B$2:$B$61,MATCH(E43,POs!$A$2:$A$61,0)),"NOT FOUND"))</f>
        <v>V003</v>
      </c>
      <c r="G43" s="14" t="n">
        <f aca="false">IF(E43="","",IFERROR(INDEX(POs!$E$2:$E$61,MATCH(E43,POs!$A$2:$A$61,0)),""))</f>
        <v>7400</v>
      </c>
      <c r="H43" s="15" t="n">
        <f aca="false">Invoices!D43</f>
        <v>46193</v>
      </c>
      <c r="I43" s="14" t="n">
        <f aca="false">Invoices!E43</f>
        <v>7070.6</v>
      </c>
      <c r="J43" s="14" t="n">
        <f aca="false">Invoices!F43</f>
        <v>919.18</v>
      </c>
      <c r="K43" s="14" t="n">
        <f aca="false">Invoices!G43</f>
        <v>7989.78</v>
      </c>
      <c r="L43" s="15" t="n">
        <f aca="false">IFERROR(H43+INDEX(Vendors!$H$2:$H$11,MATCH(C43,Vendors!$A$2:$A$11,0)),H43+30)</f>
        <v>46238</v>
      </c>
      <c r="M43" s="16" t="n">
        <f aca="false">IF(COUNTIF($A$2:A43,A43)&gt;1,1,0)</f>
        <v>1</v>
      </c>
      <c r="N43" s="14" t="n">
        <f aca="false">IF(E43="","",SUMIFS($I$2:$I$97,$E$2:$E$97,E43,$M$2:$M$97,0))</f>
        <v>7070.6</v>
      </c>
      <c r="O43" s="16" t="n">
        <f aca="false">IF(C43="UNKNOWN",1,0)</f>
        <v>0</v>
      </c>
      <c r="P43" s="16" t="n">
        <f aca="false">IF(E43="",1,0)</f>
        <v>0</v>
      </c>
      <c r="Q43" s="16" t="n">
        <f aca="false">IF(F43="NOT FOUND",1,0)</f>
        <v>0</v>
      </c>
      <c r="R43" s="16" t="n">
        <f aca="false">IF(AND(F43&lt;&gt;"",F43&lt;&gt;"NOT FOUND",F43&lt;&gt;C43),1,0)</f>
        <v>0</v>
      </c>
      <c r="S43" s="16" t="n">
        <f aca="false">IF(AND(M43=0,ISNUMBER(G43),N43&gt;G43),1,0)</f>
        <v>0</v>
      </c>
      <c r="T43" s="16" t="n">
        <f aca="false">IF(ABS(I43+J43-K43)&gt;0.01,1,0)</f>
        <v>0</v>
      </c>
      <c r="U43" s="16" t="n">
        <f aca="false">IFERROR(IF(ABS(J43-ROUND(I43*INDEX(Vendors!$G$2:$G$11,MATCH(C43,Vendors!$A$2:$A$11,0)),2))&gt;0.01,1,0),0)</f>
        <v>0</v>
      </c>
      <c r="V43" s="16" t="n">
        <f aca="false">IF(D43="Inactive",1,0)</f>
        <v>0</v>
      </c>
      <c r="W43" s="14" t="n">
        <f aca="false">SUMIFS(Payments!$D$2:$D$69,Payments!$F$2:$F$69,A43)</f>
        <v>7989.78</v>
      </c>
      <c r="X43" s="16" t="n">
        <f aca="false">IF(AND(M43=0,W43&gt;0,ABS(W43-K43)&gt;0.01),1,0)</f>
        <v>0</v>
      </c>
      <c r="Y43" s="16" t="n">
        <f aca="false">IF(AND(M43=0,W43=0,L43&lt;About!$B$3),1,0)</f>
        <v>0</v>
      </c>
      <c r="Z43" s="16" t="n">
        <f aca="false">M43+SUM(O43:V43)+X43+Y43</f>
        <v>1</v>
      </c>
    </row>
    <row r="44" customFormat="false" ht="15" hidden="false" customHeight="false" outlineLevel="0" collapsed="false">
      <c r="A44" s="2" t="str">
        <f aca="false">Invoices!A44</f>
        <v>INV-10171</v>
      </c>
      <c r="B44" s="2" t="str">
        <f aca="false">Invoices!B44</f>
        <v>Summit Digital Print</v>
      </c>
      <c r="C44" s="2" t="str">
        <f aca="false">IFERROR(INDEX(Vendor_Aliases!$B$2:$B$25,MATCH(UPPER(TRIM(B44)),Vendor_Aliases!$A$2:$A$25,0)),"UNKNOWN")</f>
        <v>V004</v>
      </c>
      <c r="D44" s="2" t="str">
        <f aca="false">IFERROR(INDEX(Vendors!$E$2:$E$11,MATCH(C44,Vendors!$A$2:$A$11,0)),"")</f>
        <v>Active</v>
      </c>
      <c r="E44" s="2" t="str">
        <f aca="false">IF(Invoices!C44="","",Invoices!C44)</f>
        <v>PO-4625</v>
      </c>
      <c r="F44" s="2" t="str">
        <f aca="false">IF(E44="","",IFERROR(INDEX(POs!$B$2:$B$61,MATCH(E44,POs!$A$2:$A$61,0)),"NOT FOUND"))</f>
        <v>V004</v>
      </c>
      <c r="G44" s="14" t="n">
        <f aca="false">IF(E44="","",IFERROR(INDEX(POs!$E$2:$E$61,MATCH(E44,POs!$A$2:$A$61,0)),""))</f>
        <v>2600</v>
      </c>
      <c r="H44" s="15" t="n">
        <f aca="false">Invoices!D44</f>
        <v>46256</v>
      </c>
      <c r="I44" s="14" t="n">
        <f aca="false">Invoices!E44</f>
        <v>1236.27</v>
      </c>
      <c r="J44" s="14" t="n">
        <f aca="false">Invoices!F44</f>
        <v>185.13</v>
      </c>
      <c r="K44" s="14" t="n">
        <f aca="false">Invoices!G44</f>
        <v>1421.4</v>
      </c>
      <c r="L44" s="15" t="n">
        <f aca="false">IFERROR(H44+INDEX(Vendors!$H$2:$H$11,MATCH(C44,Vendors!$A$2:$A$11,0)),H44+30)</f>
        <v>46286</v>
      </c>
      <c r="M44" s="16" t="n">
        <f aca="false">IF(COUNTIF($A$2:A44,A44)&gt;1,1,0)</f>
        <v>0</v>
      </c>
      <c r="N44" s="14" t="n">
        <f aca="false">IF(E44="","",SUMIFS($I$2:$I$97,$E$2:$E$97,E44,$M$2:$M$97,0))</f>
        <v>2228.43</v>
      </c>
      <c r="O44" s="16" t="n">
        <f aca="false">IF(C44="UNKNOWN",1,0)</f>
        <v>0</v>
      </c>
      <c r="P44" s="16" t="n">
        <f aca="false">IF(E44="",1,0)</f>
        <v>0</v>
      </c>
      <c r="Q44" s="16" t="n">
        <f aca="false">IF(F44="NOT FOUND",1,0)</f>
        <v>0</v>
      </c>
      <c r="R44" s="16" t="n">
        <f aca="false">IF(AND(F44&lt;&gt;"",F44&lt;&gt;"NOT FOUND",F44&lt;&gt;C44),1,0)</f>
        <v>0</v>
      </c>
      <c r="S44" s="16" t="n">
        <f aca="false">IF(AND(M44=0,ISNUMBER(G44),N44&gt;G44),1,0)</f>
        <v>0</v>
      </c>
      <c r="T44" s="16" t="n">
        <f aca="false">IF(ABS(I44+J44-K44)&gt;0.01,1,0)</f>
        <v>0</v>
      </c>
      <c r="U44" s="16" t="n">
        <f aca="false">IFERROR(IF(ABS(J44-ROUND(I44*INDEX(Vendors!$G$2:$G$11,MATCH(C44,Vendors!$A$2:$A$11,0)),2))&gt;0.01,1,0),0)</f>
        <v>0</v>
      </c>
      <c r="V44" s="16" t="n">
        <f aca="false">IF(D44="Inactive",1,0)</f>
        <v>0</v>
      </c>
      <c r="W44" s="14" t="n">
        <f aca="false">SUMIFS(Payments!$D$2:$D$69,Payments!$F$2:$F$69,A44)</f>
        <v>1421.4</v>
      </c>
      <c r="X44" s="16" t="n">
        <f aca="false">IF(AND(M44=0,W44&gt;0,ABS(W44-K44)&gt;0.01),1,0)</f>
        <v>0</v>
      </c>
      <c r="Y44" s="16" t="n">
        <f aca="false">IF(AND(M44=0,W44=0,L44&lt;About!$B$3),1,0)</f>
        <v>0</v>
      </c>
      <c r="Z44" s="16" t="n">
        <f aca="false">M44+SUM(O44:V44)+X44+Y44</f>
        <v>0</v>
      </c>
    </row>
    <row r="45" customFormat="false" ht="15" hidden="false" customHeight="false" outlineLevel="0" collapsed="false">
      <c r="A45" s="2" t="str">
        <f aca="false">Invoices!A45</f>
        <v>INV-10060</v>
      </c>
      <c r="B45" s="2" t="str">
        <f aca="false">Invoices!B45</f>
        <v>NORTHBRIDGE PRINT SERVICES</v>
      </c>
      <c r="C45" s="2" t="str">
        <f aca="false">IFERROR(INDEX(Vendor_Aliases!$B$2:$B$25,MATCH(UPPER(TRIM(B45)),Vendor_Aliases!$A$2:$A$25,0)),"UNKNOWN")</f>
        <v>V001</v>
      </c>
      <c r="D45" s="2" t="str">
        <f aca="false">IFERROR(INDEX(Vendors!$E$2:$E$11,MATCH(C45,Vendors!$A$2:$A$11,0)),"")</f>
        <v>Active</v>
      </c>
      <c r="E45" s="2" t="str">
        <f aca="false">IF(Invoices!C45="","",Invoices!C45)</f>
        <v>PO-4538</v>
      </c>
      <c r="F45" s="2" t="str">
        <f aca="false">IF(E45="","",IFERROR(INDEX(POs!$B$2:$B$61,MATCH(E45,POs!$A$2:$A$61,0)),"NOT FOUND"))</f>
        <v>V001</v>
      </c>
      <c r="G45" s="14" t="n">
        <f aca="false">IF(E45="","",IFERROR(INDEX(POs!$E$2:$E$61,MATCH(E45,POs!$A$2:$A$61,0)),""))</f>
        <v>18400</v>
      </c>
      <c r="H45" s="15" t="n">
        <f aca="false">Invoices!D45</f>
        <v>46221</v>
      </c>
      <c r="I45" s="14" t="n">
        <f aca="false">Invoices!E45</f>
        <v>6755.33</v>
      </c>
      <c r="J45" s="14" t="n">
        <f aca="false">Invoices!F45</f>
        <v>878.19</v>
      </c>
      <c r="K45" s="14" t="n">
        <f aca="false">Invoices!G45</f>
        <v>7633.52</v>
      </c>
      <c r="L45" s="15" t="n">
        <f aca="false">IFERROR(H45+INDEX(Vendors!$H$2:$H$11,MATCH(C45,Vendors!$A$2:$A$11,0)),H45+30)</f>
        <v>46251</v>
      </c>
      <c r="M45" s="16" t="n">
        <f aca="false">IF(COUNTIF($A$2:A45,A45)&gt;1,1,0)</f>
        <v>0</v>
      </c>
      <c r="N45" s="14" t="n">
        <f aca="false">IF(E45="","",SUMIFS($I$2:$I$97,$E$2:$E$97,E45,$M$2:$M$97,0))</f>
        <v>15657.07</v>
      </c>
      <c r="O45" s="16" t="n">
        <f aca="false">IF(C45="UNKNOWN",1,0)</f>
        <v>0</v>
      </c>
      <c r="P45" s="16" t="n">
        <f aca="false">IF(E45="",1,0)</f>
        <v>0</v>
      </c>
      <c r="Q45" s="16" t="n">
        <f aca="false">IF(F45="NOT FOUND",1,0)</f>
        <v>0</v>
      </c>
      <c r="R45" s="16" t="n">
        <f aca="false">IF(AND(F45&lt;&gt;"",F45&lt;&gt;"NOT FOUND",F45&lt;&gt;C45),1,0)</f>
        <v>0</v>
      </c>
      <c r="S45" s="16" t="n">
        <f aca="false">IF(AND(M45=0,ISNUMBER(G45),N45&gt;G45),1,0)</f>
        <v>0</v>
      </c>
      <c r="T45" s="16" t="n">
        <f aca="false">IF(ABS(I45+J45-K45)&gt;0.01,1,0)</f>
        <v>0</v>
      </c>
      <c r="U45" s="16" t="n">
        <f aca="false">IFERROR(IF(ABS(J45-ROUND(I45*INDEX(Vendors!$G$2:$G$11,MATCH(C45,Vendors!$A$2:$A$11,0)),2))&gt;0.01,1,0),0)</f>
        <v>0</v>
      </c>
      <c r="V45" s="16" t="n">
        <f aca="false">IF(D45="Inactive",1,0)</f>
        <v>0</v>
      </c>
      <c r="W45" s="14" t="n">
        <f aca="false">SUMIFS(Payments!$D$2:$D$69,Payments!$F$2:$F$69,A45)</f>
        <v>7633.52</v>
      </c>
      <c r="X45" s="16" t="n">
        <f aca="false">IF(AND(M45=0,W45&gt;0,ABS(W45-K45)&gt;0.01),1,0)</f>
        <v>0</v>
      </c>
      <c r="Y45" s="16" t="n">
        <f aca="false">IF(AND(M45=0,W45=0,L45&lt;About!$B$3),1,0)</f>
        <v>0</v>
      </c>
      <c r="Z45" s="16" t="n">
        <f aca="false">M45+SUM(O45:V45)+X45+Y45</f>
        <v>0</v>
      </c>
    </row>
    <row r="46" customFormat="false" ht="15" hidden="false" customHeight="false" outlineLevel="0" collapsed="false">
      <c r="A46" s="2" t="str">
        <f aca="false">Invoices!A46</f>
        <v>INV-10184</v>
      </c>
      <c r="B46" s="2" t="str">
        <f aca="false">Invoices!B46</f>
        <v>Cedarline Paper Supply</v>
      </c>
      <c r="C46" s="2" t="str">
        <f aca="false">IFERROR(INDEX(Vendor_Aliases!$B$2:$B$25,MATCH(UPPER(TRIM(B46)),Vendor_Aliases!$A$2:$A$25,0)),"UNKNOWN")</f>
        <v>V006</v>
      </c>
      <c r="D46" s="2" t="str">
        <f aca="false">IFERROR(INDEX(Vendors!$E$2:$E$11,MATCH(C46,Vendors!$A$2:$A$11,0)),"")</f>
        <v>Active</v>
      </c>
      <c r="E46" s="2" t="str">
        <f aca="false">IF(Invoices!C46="","",Invoices!C46)</f>
        <v>PO-4633</v>
      </c>
      <c r="F46" s="2" t="str">
        <f aca="false">IF(E46="","",IFERROR(INDEX(POs!$B$2:$B$61,MATCH(E46,POs!$A$2:$A$61,0)),"NOT FOUND"))</f>
        <v>V006</v>
      </c>
      <c r="G46" s="14" t="n">
        <f aca="false">IF(E46="","",IFERROR(INDEX(POs!$E$2:$E$61,MATCH(E46,POs!$A$2:$A$61,0)),""))</f>
        <v>2600</v>
      </c>
      <c r="H46" s="15" t="n">
        <f aca="false">Invoices!D46</f>
        <v>46277</v>
      </c>
      <c r="I46" s="14" t="n">
        <f aca="false">Invoices!E46</f>
        <v>1025.86</v>
      </c>
      <c r="J46" s="14" t="n">
        <f aca="false">Invoices!F46</f>
        <v>133.36</v>
      </c>
      <c r="K46" s="14" t="n">
        <f aca="false">Invoices!G46</f>
        <v>1271.72</v>
      </c>
      <c r="L46" s="15" t="n">
        <f aca="false">IFERROR(H46+INDEX(Vendors!$H$2:$H$11,MATCH(C46,Vendors!$A$2:$A$11,0)),H46+30)</f>
        <v>46322</v>
      </c>
      <c r="M46" s="16" t="n">
        <f aca="false">IF(COUNTIF($A$2:A46,A46)&gt;1,1,0)</f>
        <v>0</v>
      </c>
      <c r="N46" s="14" t="n">
        <f aca="false">IF(E46="","",SUMIFS($I$2:$I$97,$E$2:$E$97,E46,$M$2:$M$97,0))</f>
        <v>2228.07</v>
      </c>
      <c r="O46" s="16" t="n">
        <f aca="false">IF(C46="UNKNOWN",1,0)</f>
        <v>0</v>
      </c>
      <c r="P46" s="16" t="n">
        <f aca="false">IF(E46="",1,0)</f>
        <v>0</v>
      </c>
      <c r="Q46" s="16" t="n">
        <f aca="false">IF(F46="NOT FOUND",1,0)</f>
        <v>0</v>
      </c>
      <c r="R46" s="16" t="n">
        <f aca="false">IF(AND(F46&lt;&gt;"",F46&lt;&gt;"NOT FOUND",F46&lt;&gt;C46),1,0)</f>
        <v>0</v>
      </c>
      <c r="S46" s="16" t="n">
        <f aca="false">IF(AND(M46=0,ISNUMBER(G46),N46&gt;G46),1,0)</f>
        <v>0</v>
      </c>
      <c r="T46" s="16" t="n">
        <f aca="false">IF(ABS(I46+J46-K46)&gt;0.01,1,0)</f>
        <v>1</v>
      </c>
      <c r="U46" s="16" t="n">
        <f aca="false">IFERROR(IF(ABS(J46-ROUND(I46*INDEX(Vendors!$G$2:$G$11,MATCH(C46,Vendors!$A$2:$A$11,0)),2))&gt;0.01,1,0),0)</f>
        <v>0</v>
      </c>
      <c r="V46" s="16" t="n">
        <f aca="false">IF(D46="Inactive",1,0)</f>
        <v>0</v>
      </c>
      <c r="W46" s="14" t="n">
        <f aca="false">SUMIFS(Payments!$D$2:$D$69,Payments!$F$2:$F$69,A46)</f>
        <v>0</v>
      </c>
      <c r="X46" s="16" t="n">
        <f aca="false">IF(AND(M46=0,W46&gt;0,ABS(W46-K46)&gt;0.01),1,0)</f>
        <v>0</v>
      </c>
      <c r="Y46" s="16" t="n">
        <f aca="false">IF(AND(M46=0,W46=0,L46&lt;About!$B$3),1,0)</f>
        <v>0</v>
      </c>
      <c r="Z46" s="16" t="n">
        <f aca="false">M46+SUM(O46:V46)+X46+Y46</f>
        <v>1</v>
      </c>
    </row>
    <row r="47" customFormat="false" ht="15" hidden="false" customHeight="false" outlineLevel="0" collapsed="false">
      <c r="A47" s="2" t="str">
        <f aca="false">Invoices!A47</f>
        <v>INV-10061</v>
      </c>
      <c r="B47" s="2" t="str">
        <f aca="false">Invoices!B47</f>
        <v>Maple Mailing Solutions</v>
      </c>
      <c r="C47" s="2" t="str">
        <f aca="false">IFERROR(INDEX(Vendor_Aliases!$B$2:$B$25,MATCH(UPPER(TRIM(B47)),Vendor_Aliases!$A$2:$A$25,0)),"UNKNOWN")</f>
        <v>V002</v>
      </c>
      <c r="D47" s="2" t="str">
        <f aca="false">IFERROR(INDEX(Vendors!$E$2:$E$11,MATCH(C47,Vendors!$A$2:$A$11,0)),"")</f>
        <v>Active</v>
      </c>
      <c r="E47" s="2" t="str">
        <f aca="false">IF(Invoices!C47="","",Invoices!C47)</f>
        <v>PO-4541</v>
      </c>
      <c r="F47" s="2" t="str">
        <f aca="false">IF(E47="","",IFERROR(INDEX(POs!$B$2:$B$61,MATCH(E47,POs!$A$2:$A$61,0)),"NOT FOUND"))</f>
        <v>V002</v>
      </c>
      <c r="G47" s="14" t="n">
        <f aca="false">IF(E47="","",IFERROR(INDEX(POs!$E$2:$E$61,MATCH(E47,POs!$A$2:$A$61,0)),""))</f>
        <v>2050</v>
      </c>
      <c r="H47" s="15" t="n">
        <f aca="false">Invoices!D47</f>
        <v>46158</v>
      </c>
      <c r="I47" s="14" t="n">
        <f aca="false">Invoices!E47</f>
        <v>973.64</v>
      </c>
      <c r="J47" s="14" t="n">
        <f aca="false">Invoices!F47</f>
        <v>126.57</v>
      </c>
      <c r="K47" s="14" t="n">
        <f aca="false">Invoices!G47</f>
        <v>1100.21</v>
      </c>
      <c r="L47" s="15" t="n">
        <f aca="false">IFERROR(H47+INDEX(Vendors!$H$2:$H$11,MATCH(C47,Vendors!$A$2:$A$11,0)),H47+30)</f>
        <v>46188</v>
      </c>
      <c r="M47" s="16" t="n">
        <f aca="false">IF(COUNTIF($A$2:A47,A47)&gt;1,1,0)</f>
        <v>0</v>
      </c>
      <c r="N47" s="14" t="n">
        <f aca="false">IF(E47="","",SUMIFS($I$2:$I$97,$E$2:$E$97,E47,$M$2:$M$97,0))</f>
        <v>1709.2</v>
      </c>
      <c r="O47" s="16" t="n">
        <f aca="false">IF(C47="UNKNOWN",1,0)</f>
        <v>0</v>
      </c>
      <c r="P47" s="16" t="n">
        <f aca="false">IF(E47="",1,0)</f>
        <v>0</v>
      </c>
      <c r="Q47" s="16" t="n">
        <f aca="false">IF(F47="NOT FOUND",1,0)</f>
        <v>0</v>
      </c>
      <c r="R47" s="16" t="n">
        <f aca="false">IF(AND(F47&lt;&gt;"",F47&lt;&gt;"NOT FOUND",F47&lt;&gt;C47),1,0)</f>
        <v>0</v>
      </c>
      <c r="S47" s="16" t="n">
        <f aca="false">IF(AND(M47=0,ISNUMBER(G47),N47&gt;G47),1,0)</f>
        <v>0</v>
      </c>
      <c r="T47" s="16" t="n">
        <f aca="false">IF(ABS(I47+J47-K47)&gt;0.01,1,0)</f>
        <v>0</v>
      </c>
      <c r="U47" s="16" t="n">
        <f aca="false">IFERROR(IF(ABS(J47-ROUND(I47*INDEX(Vendors!$G$2:$G$11,MATCH(C47,Vendors!$A$2:$A$11,0)),2))&gt;0.01,1,0),0)</f>
        <v>0</v>
      </c>
      <c r="V47" s="16" t="n">
        <f aca="false">IF(D47="Inactive",1,0)</f>
        <v>0</v>
      </c>
      <c r="W47" s="14" t="n">
        <f aca="false">SUMIFS(Payments!$D$2:$D$69,Payments!$F$2:$F$69,A47)</f>
        <v>1100.21</v>
      </c>
      <c r="X47" s="16" t="n">
        <f aca="false">IF(AND(M47=0,W47&gt;0,ABS(W47-K47)&gt;0.01),1,0)</f>
        <v>0</v>
      </c>
      <c r="Y47" s="16" t="n">
        <f aca="false">IF(AND(M47=0,W47=0,L47&lt;About!$B$3),1,0)</f>
        <v>0</v>
      </c>
      <c r="Z47" s="16" t="n">
        <f aca="false">M47+SUM(O47:V47)+X47+Y47</f>
        <v>0</v>
      </c>
    </row>
    <row r="48" customFormat="false" ht="15" hidden="false" customHeight="false" outlineLevel="0" collapsed="false">
      <c r="A48" s="2" t="str">
        <f aca="false">Invoices!A48</f>
        <v>INV-10064</v>
      </c>
      <c r="B48" s="2" t="str">
        <f aca="false">Invoices!B48</f>
        <v>Lakeshore Envelope Company</v>
      </c>
      <c r="C48" s="2" t="str">
        <f aca="false">IFERROR(INDEX(Vendor_Aliases!$B$2:$B$25,MATCH(UPPER(TRIM(B48)),Vendor_Aliases!$A$2:$A$25,0)),"UNKNOWN")</f>
        <v>V003</v>
      </c>
      <c r="D48" s="2" t="str">
        <f aca="false">IFERROR(INDEX(Vendors!$E$2:$E$11,MATCH(C48,Vendors!$A$2:$A$11,0)),"")</f>
        <v>Active</v>
      </c>
      <c r="E48" s="2" t="str">
        <f aca="false">IF(Invoices!C48="","",Invoices!C48)</f>
        <v>PO-4542</v>
      </c>
      <c r="F48" s="2" t="str">
        <f aca="false">IF(E48="","",IFERROR(INDEX(POs!$B$2:$B$61,MATCH(E48,POs!$A$2:$A$61,0)),"NOT FOUND"))</f>
        <v>V003</v>
      </c>
      <c r="G48" s="14" t="n">
        <f aca="false">IF(E48="","",IFERROR(INDEX(POs!$E$2:$E$61,MATCH(E48,POs!$A$2:$A$61,0)),""))</f>
        <v>5900</v>
      </c>
      <c r="H48" s="15" t="n">
        <f aca="false">Invoices!D48</f>
        <v>46201</v>
      </c>
      <c r="I48" s="14" t="n">
        <f aca="false">Invoices!E48</f>
        <v>2603.01</v>
      </c>
      <c r="J48" s="14" t="n">
        <f aca="false">Invoices!F48</f>
        <v>338.39</v>
      </c>
      <c r="K48" s="14" t="n">
        <f aca="false">Invoices!G48</f>
        <v>2941.4</v>
      </c>
      <c r="L48" s="15" t="n">
        <f aca="false">IFERROR(H48+INDEX(Vendors!$H$2:$H$11,MATCH(C48,Vendors!$A$2:$A$11,0)),H48+30)</f>
        <v>46246</v>
      </c>
      <c r="M48" s="16" t="n">
        <f aca="false">IF(COUNTIF($A$2:A48,A48)&gt;1,1,0)</f>
        <v>0</v>
      </c>
      <c r="N48" s="14" t="n">
        <f aca="false">IF(E48="","",SUMIFS($I$2:$I$97,$E$2:$E$97,E48,$M$2:$M$97,0))</f>
        <v>2603.01</v>
      </c>
      <c r="O48" s="16" t="n">
        <f aca="false">IF(C48="UNKNOWN",1,0)</f>
        <v>0</v>
      </c>
      <c r="P48" s="16" t="n">
        <f aca="false">IF(E48="",1,0)</f>
        <v>0</v>
      </c>
      <c r="Q48" s="16" t="n">
        <f aca="false">IF(F48="NOT FOUND",1,0)</f>
        <v>0</v>
      </c>
      <c r="R48" s="16" t="n">
        <f aca="false">IF(AND(F48&lt;&gt;"",F48&lt;&gt;"NOT FOUND",F48&lt;&gt;C48),1,0)</f>
        <v>0</v>
      </c>
      <c r="S48" s="16" t="n">
        <f aca="false">IF(AND(M48=0,ISNUMBER(G48),N48&gt;G48),1,0)</f>
        <v>0</v>
      </c>
      <c r="T48" s="16" t="n">
        <f aca="false">IF(ABS(I48+J48-K48)&gt;0.01,1,0)</f>
        <v>0</v>
      </c>
      <c r="U48" s="16" t="n">
        <f aca="false">IFERROR(IF(ABS(J48-ROUND(I48*INDEX(Vendors!$G$2:$G$11,MATCH(C48,Vendors!$A$2:$A$11,0)),2))&gt;0.01,1,0),0)</f>
        <v>0</v>
      </c>
      <c r="V48" s="16" t="n">
        <f aca="false">IF(D48="Inactive",1,0)</f>
        <v>0</v>
      </c>
      <c r="W48" s="14" t="n">
        <f aca="false">SUMIFS(Payments!$D$2:$D$69,Payments!$F$2:$F$69,A48)</f>
        <v>2941.4</v>
      </c>
      <c r="X48" s="16" t="n">
        <f aca="false">IF(AND(M48=0,W48&gt;0,ABS(W48-K48)&gt;0.01),1,0)</f>
        <v>0</v>
      </c>
      <c r="Y48" s="16" t="n">
        <f aca="false">IF(AND(M48=0,W48=0,L48&lt;About!$B$3),1,0)</f>
        <v>0</v>
      </c>
      <c r="Z48" s="16" t="n">
        <f aca="false">M48+SUM(O48:V48)+X48+Y48</f>
        <v>0</v>
      </c>
    </row>
    <row r="49" customFormat="false" ht="15" hidden="false" customHeight="false" outlineLevel="0" collapsed="false">
      <c r="A49" s="2" t="str">
        <f aca="false">Invoices!A49</f>
        <v>INV-10033</v>
      </c>
      <c r="B49" s="2" t="str">
        <f aca="false">Invoices!B49</f>
        <v>Cedarline Paper Supply</v>
      </c>
      <c r="C49" s="2" t="str">
        <f aca="false">IFERROR(INDEX(Vendor_Aliases!$B$2:$B$25,MATCH(UPPER(TRIM(B49)),Vendor_Aliases!$A$2:$A$25,0)),"UNKNOWN")</f>
        <v>V006</v>
      </c>
      <c r="D49" s="2" t="str">
        <f aca="false">IFERROR(INDEX(Vendors!$E$2:$E$11,MATCH(C49,Vendors!$A$2:$A$11,0)),"")</f>
        <v>Active</v>
      </c>
      <c r="E49" s="2" t="str">
        <f aca="false">IF(Invoices!C49="","",Invoices!C49)</f>
        <v>PO-4522</v>
      </c>
      <c r="F49" s="2" t="str">
        <f aca="false">IF(E49="","",IFERROR(INDEX(POs!$B$2:$B$61,MATCH(E49,POs!$A$2:$A$61,0)),"NOT FOUND"))</f>
        <v>V006</v>
      </c>
      <c r="G49" s="14" t="n">
        <f aca="false">IF(E49="","",IFERROR(INDEX(POs!$E$2:$E$61,MATCH(E49,POs!$A$2:$A$61,0)),""))</f>
        <v>17550</v>
      </c>
      <c r="H49" s="15" t="n">
        <f aca="false">Invoices!D49</f>
        <v>46212</v>
      </c>
      <c r="I49" s="14" t="n">
        <f aca="false">Invoices!E49</f>
        <v>20709</v>
      </c>
      <c r="J49" s="14" t="n">
        <f aca="false">Invoices!F49</f>
        <v>2692.17</v>
      </c>
      <c r="K49" s="14" t="n">
        <f aca="false">Invoices!G49</f>
        <v>23401.17</v>
      </c>
      <c r="L49" s="15" t="n">
        <f aca="false">IFERROR(H49+INDEX(Vendors!$H$2:$H$11,MATCH(C49,Vendors!$A$2:$A$11,0)),H49+30)</f>
        <v>46257</v>
      </c>
      <c r="M49" s="16" t="n">
        <f aca="false">IF(COUNTIF($A$2:A49,A49)&gt;1,1,0)</f>
        <v>0</v>
      </c>
      <c r="N49" s="14" t="n">
        <f aca="false">IF(E49="","",SUMIFS($I$2:$I$97,$E$2:$E$97,E49,$M$2:$M$97,0))</f>
        <v>20709</v>
      </c>
      <c r="O49" s="16" t="n">
        <f aca="false">IF(C49="UNKNOWN",1,0)</f>
        <v>0</v>
      </c>
      <c r="P49" s="16" t="n">
        <f aca="false">IF(E49="",1,0)</f>
        <v>0</v>
      </c>
      <c r="Q49" s="16" t="n">
        <f aca="false">IF(F49="NOT FOUND",1,0)</f>
        <v>0</v>
      </c>
      <c r="R49" s="16" t="n">
        <f aca="false">IF(AND(F49&lt;&gt;"",F49&lt;&gt;"NOT FOUND",F49&lt;&gt;C49),1,0)</f>
        <v>0</v>
      </c>
      <c r="S49" s="16" t="n">
        <f aca="false">IF(AND(M49=0,ISNUMBER(G49),N49&gt;G49),1,0)</f>
        <v>1</v>
      </c>
      <c r="T49" s="16" t="n">
        <f aca="false">IF(ABS(I49+J49-K49)&gt;0.01,1,0)</f>
        <v>0</v>
      </c>
      <c r="U49" s="16" t="n">
        <f aca="false">IFERROR(IF(ABS(J49-ROUND(I49*INDEX(Vendors!$G$2:$G$11,MATCH(C49,Vendors!$A$2:$A$11,0)),2))&gt;0.01,1,0),0)</f>
        <v>0</v>
      </c>
      <c r="V49" s="16" t="n">
        <f aca="false">IF(D49="Inactive",1,0)</f>
        <v>0</v>
      </c>
      <c r="W49" s="14" t="n">
        <f aca="false">SUMIFS(Payments!$D$2:$D$69,Payments!$F$2:$F$69,A49)</f>
        <v>23401.17</v>
      </c>
      <c r="X49" s="16" t="n">
        <f aca="false">IF(AND(M49=0,W49&gt;0,ABS(W49-K49)&gt;0.01),1,0)</f>
        <v>0</v>
      </c>
      <c r="Y49" s="16" t="n">
        <f aca="false">IF(AND(M49=0,W49=0,L49&lt;About!$B$3),1,0)</f>
        <v>0</v>
      </c>
      <c r="Z49" s="16" t="n">
        <f aca="false">M49+SUM(O49:V49)+X49+Y49</f>
        <v>1</v>
      </c>
    </row>
    <row r="50" customFormat="false" ht="15" hidden="false" customHeight="false" outlineLevel="0" collapsed="false">
      <c r="A50" s="2" t="str">
        <f aca="false">Invoices!A50</f>
        <v>INV-10167</v>
      </c>
      <c r="B50" s="2" t="str">
        <f aca="false">Invoices!B50</f>
        <v>MAPLE MAILING SOLUTIONS </v>
      </c>
      <c r="C50" s="2" t="str">
        <f aca="false">IFERROR(INDEX(Vendor_Aliases!$B$2:$B$25,MATCH(UPPER(TRIM(B50)),Vendor_Aliases!$A$2:$A$25,0)),"UNKNOWN")</f>
        <v>V002</v>
      </c>
      <c r="D50" s="2" t="str">
        <f aca="false">IFERROR(INDEX(Vendors!$E$2:$E$11,MATCH(C50,Vendors!$A$2:$A$11,0)),"")</f>
        <v>Active</v>
      </c>
      <c r="E50" s="2" t="str">
        <f aca="false">IF(Invoices!C50="","",Invoices!C50)</f>
        <v>PO-4623</v>
      </c>
      <c r="F50" s="2" t="str">
        <f aca="false">IF(E50="","",IFERROR(INDEX(POs!$B$2:$B$61,MATCH(E50,POs!$A$2:$A$61,0)),"NOT FOUND"))</f>
        <v>V002</v>
      </c>
      <c r="G50" s="14" t="n">
        <f aca="false">IF(E50="","",IFERROR(INDEX(POs!$E$2:$E$61,MATCH(E50,POs!$A$2:$A$61,0)),""))</f>
        <v>17850</v>
      </c>
      <c r="H50" s="15" t="n">
        <f aca="false">Invoices!D50</f>
        <v>46253</v>
      </c>
      <c r="I50" s="14" t="n">
        <f aca="false">Invoices!E50</f>
        <v>8273.96</v>
      </c>
      <c r="J50" s="14" t="n">
        <f aca="false">Invoices!F50</f>
        <v>1075.61</v>
      </c>
      <c r="K50" s="14" t="n">
        <f aca="false">Invoices!G50</f>
        <v>9349.57</v>
      </c>
      <c r="L50" s="15" t="n">
        <f aca="false">IFERROR(H50+INDEX(Vendors!$H$2:$H$11,MATCH(C50,Vendors!$A$2:$A$11,0)),H50+30)</f>
        <v>46283</v>
      </c>
      <c r="M50" s="16" t="n">
        <f aca="false">IF(COUNTIF($A$2:A50,A50)&gt;1,1,0)</f>
        <v>0</v>
      </c>
      <c r="N50" s="14" t="n">
        <f aca="false">IF(E50="","",SUMIFS($I$2:$I$97,$E$2:$E$97,E50,$M$2:$M$97,0))</f>
        <v>14796.52</v>
      </c>
      <c r="O50" s="16" t="n">
        <f aca="false">IF(C50="UNKNOWN",1,0)</f>
        <v>0</v>
      </c>
      <c r="P50" s="16" t="n">
        <f aca="false">IF(E50="",1,0)</f>
        <v>0</v>
      </c>
      <c r="Q50" s="16" t="n">
        <f aca="false">IF(F50="NOT FOUND",1,0)</f>
        <v>0</v>
      </c>
      <c r="R50" s="16" t="n">
        <f aca="false">IF(AND(F50&lt;&gt;"",F50&lt;&gt;"NOT FOUND",F50&lt;&gt;C50),1,0)</f>
        <v>0</v>
      </c>
      <c r="S50" s="16" t="n">
        <f aca="false">IF(AND(M50=0,ISNUMBER(G50),N50&gt;G50),1,0)</f>
        <v>0</v>
      </c>
      <c r="T50" s="16" t="n">
        <f aca="false">IF(ABS(I50+J50-K50)&gt;0.01,1,0)</f>
        <v>0</v>
      </c>
      <c r="U50" s="16" t="n">
        <f aca="false">IFERROR(IF(ABS(J50-ROUND(I50*INDEX(Vendors!$G$2:$G$11,MATCH(C50,Vendors!$A$2:$A$11,0)),2))&gt;0.01,1,0),0)</f>
        <v>0</v>
      </c>
      <c r="V50" s="16" t="n">
        <f aca="false">IF(D50="Inactive",1,0)</f>
        <v>0</v>
      </c>
      <c r="W50" s="14" t="n">
        <f aca="false">SUMIFS(Payments!$D$2:$D$69,Payments!$F$2:$F$69,A50)</f>
        <v>0</v>
      </c>
      <c r="X50" s="16" t="n">
        <f aca="false">IF(AND(M50=0,W50&gt;0,ABS(W50-K50)&gt;0.01),1,0)</f>
        <v>0</v>
      </c>
      <c r="Y50" s="16" t="n">
        <f aca="false">IF(AND(M50=0,W50=0,L50&lt;About!$B$3),1,0)</f>
        <v>1</v>
      </c>
      <c r="Z50" s="16" t="n">
        <f aca="false">M50+SUM(O50:V50)+X50+Y50</f>
        <v>1</v>
      </c>
    </row>
    <row r="51" customFormat="false" ht="15" hidden="false" customHeight="false" outlineLevel="0" collapsed="false">
      <c r="A51" s="2" t="str">
        <f aca="false">Invoices!A51</f>
        <v>INV-10003</v>
      </c>
      <c r="B51" s="2" t="str">
        <f aca="false">Invoices!B51</f>
        <v>Redwood Document Services</v>
      </c>
      <c r="C51" s="2" t="str">
        <f aca="false">IFERROR(INDEX(Vendor_Aliases!$B$2:$B$25,MATCH(UPPER(TRIM(B51)),Vendor_Aliases!$A$2:$A$25,0)),"UNKNOWN")</f>
        <v>V007</v>
      </c>
      <c r="D51" s="2" t="str">
        <f aca="false">IFERROR(INDEX(Vendors!$E$2:$E$11,MATCH(C51,Vendors!$A$2:$A$11,0)),"")</f>
        <v>Inactive</v>
      </c>
      <c r="E51" s="2" t="str">
        <f aca="false">IF(Invoices!C51="","",Invoices!C51)</f>
        <v>PO-4501</v>
      </c>
      <c r="F51" s="2" t="str">
        <f aca="false">IF(E51="","",IFERROR(INDEX(POs!$B$2:$B$61,MATCH(E51,POs!$A$2:$A$61,0)),"NOT FOUND"))</f>
        <v>V007</v>
      </c>
      <c r="G51" s="14" t="n">
        <f aca="false">IF(E51="","",IFERROR(INDEX(POs!$E$2:$E$61,MATCH(E51,POs!$A$2:$A$61,0)),""))</f>
        <v>7700</v>
      </c>
      <c r="H51" s="15" t="n">
        <f aca="false">Invoices!D51</f>
        <v>46050</v>
      </c>
      <c r="I51" s="14" t="n">
        <f aca="false">Invoices!E51</f>
        <v>2784.1</v>
      </c>
      <c r="J51" s="14" t="n">
        <f aca="false">Invoices!F51</f>
        <v>334.09</v>
      </c>
      <c r="K51" s="14" t="n">
        <f aca="false">Invoices!G51</f>
        <v>3118.19</v>
      </c>
      <c r="L51" s="15" t="n">
        <f aca="false">IFERROR(H51+INDEX(Vendors!$H$2:$H$11,MATCH(C51,Vendors!$A$2:$A$11,0)),H51+30)</f>
        <v>46080</v>
      </c>
      <c r="M51" s="16" t="n">
        <f aca="false">IF(COUNTIF($A$2:A51,A51)&gt;1,1,0)</f>
        <v>0</v>
      </c>
      <c r="N51" s="14" t="n">
        <f aca="false">IF(E51="","",SUMIFS($I$2:$I$97,$E$2:$E$97,E51,$M$2:$M$97,0))</f>
        <v>6291.82</v>
      </c>
      <c r="O51" s="16" t="n">
        <f aca="false">IF(C51="UNKNOWN",1,0)</f>
        <v>0</v>
      </c>
      <c r="P51" s="16" t="n">
        <f aca="false">IF(E51="",1,0)</f>
        <v>0</v>
      </c>
      <c r="Q51" s="16" t="n">
        <f aca="false">IF(F51="NOT FOUND",1,0)</f>
        <v>0</v>
      </c>
      <c r="R51" s="16" t="n">
        <f aca="false">IF(AND(F51&lt;&gt;"",F51&lt;&gt;"NOT FOUND",F51&lt;&gt;C51),1,0)</f>
        <v>0</v>
      </c>
      <c r="S51" s="16" t="n">
        <f aca="false">IF(AND(M51=0,ISNUMBER(G51),N51&gt;G51),1,0)</f>
        <v>0</v>
      </c>
      <c r="T51" s="16" t="n">
        <f aca="false">IF(ABS(I51+J51-K51)&gt;0.01,1,0)</f>
        <v>0</v>
      </c>
      <c r="U51" s="16" t="n">
        <f aca="false">IFERROR(IF(ABS(J51-ROUND(I51*INDEX(Vendors!$G$2:$G$11,MATCH(C51,Vendors!$A$2:$A$11,0)),2))&gt;0.01,1,0),0)</f>
        <v>0</v>
      </c>
      <c r="V51" s="16" t="n">
        <f aca="false">IF(D51="Inactive",1,0)</f>
        <v>1</v>
      </c>
      <c r="W51" s="14" t="n">
        <f aca="false">SUMIFS(Payments!$D$2:$D$69,Payments!$F$2:$F$69,A51)</f>
        <v>3118.19</v>
      </c>
      <c r="X51" s="16" t="n">
        <f aca="false">IF(AND(M51=0,W51&gt;0,ABS(W51-K51)&gt;0.01),1,0)</f>
        <v>0</v>
      </c>
      <c r="Y51" s="16" t="n">
        <f aca="false">IF(AND(M51=0,W51=0,L51&lt;About!$B$3),1,0)</f>
        <v>0</v>
      </c>
      <c r="Z51" s="16" t="n">
        <f aca="false">M51+SUM(O51:V51)+X51+Y51</f>
        <v>1</v>
      </c>
    </row>
    <row r="52" customFormat="false" ht="15" hidden="false" customHeight="false" outlineLevel="0" collapsed="false">
      <c r="A52" s="2" t="str">
        <f aca="false">Invoices!A52</f>
        <v>INV-10172</v>
      </c>
      <c r="B52" s="2" t="str">
        <f aca="false">Invoices!B52</f>
        <v>SUMMIT DIGITAL PRINT INC.</v>
      </c>
      <c r="C52" s="2" t="str">
        <f aca="false">IFERROR(INDEX(Vendor_Aliases!$B$2:$B$25,MATCH(UPPER(TRIM(B52)),Vendor_Aliases!$A$2:$A$25,0)),"UNKNOWN")</f>
        <v>V004</v>
      </c>
      <c r="D52" s="2" t="str">
        <f aca="false">IFERROR(INDEX(Vendors!$E$2:$E$11,MATCH(C52,Vendors!$A$2:$A$11,0)),"")</f>
        <v>Active</v>
      </c>
      <c r="E52" s="2" t="str">
        <f aca="false">IF(Invoices!C52="","",Invoices!C52)</f>
        <v>PO-4625</v>
      </c>
      <c r="F52" s="2" t="str">
        <f aca="false">IF(E52="","",IFERROR(INDEX(POs!$B$2:$B$61,MATCH(E52,POs!$A$2:$A$61,0)),"NOT FOUND"))</f>
        <v>V004</v>
      </c>
      <c r="G52" s="14" t="n">
        <f aca="false">IF(E52="","",IFERROR(INDEX(POs!$E$2:$E$61,MATCH(E52,POs!$A$2:$A$61,0)),""))</f>
        <v>2600</v>
      </c>
      <c r="H52" s="15" t="n">
        <f aca="false">Invoices!D52</f>
        <v>46247</v>
      </c>
      <c r="I52" s="14" t="n">
        <f aca="false">Invoices!E52</f>
        <v>992.16</v>
      </c>
      <c r="J52" s="14" t="n">
        <f aca="false">Invoices!F52</f>
        <v>148.58</v>
      </c>
      <c r="K52" s="14" t="n">
        <f aca="false">Invoices!G52</f>
        <v>1140.74</v>
      </c>
      <c r="L52" s="15" t="n">
        <f aca="false">IFERROR(H52+INDEX(Vendors!$H$2:$H$11,MATCH(C52,Vendors!$A$2:$A$11,0)),H52+30)</f>
        <v>46277</v>
      </c>
      <c r="M52" s="16" t="n">
        <f aca="false">IF(COUNTIF($A$2:A52,A52)&gt;1,1,0)</f>
        <v>0</v>
      </c>
      <c r="N52" s="14" t="n">
        <f aca="false">IF(E52="","",SUMIFS($I$2:$I$97,$E$2:$E$97,E52,$M$2:$M$97,0))</f>
        <v>2228.43</v>
      </c>
      <c r="O52" s="16" t="n">
        <f aca="false">IF(C52="UNKNOWN",1,0)</f>
        <v>0</v>
      </c>
      <c r="P52" s="16" t="n">
        <f aca="false">IF(E52="",1,0)</f>
        <v>0</v>
      </c>
      <c r="Q52" s="16" t="n">
        <f aca="false">IF(F52="NOT FOUND",1,0)</f>
        <v>0</v>
      </c>
      <c r="R52" s="16" t="n">
        <f aca="false">IF(AND(F52&lt;&gt;"",F52&lt;&gt;"NOT FOUND",F52&lt;&gt;C52),1,0)</f>
        <v>0</v>
      </c>
      <c r="S52" s="16" t="n">
        <f aca="false">IF(AND(M52=0,ISNUMBER(G52),N52&gt;G52),1,0)</f>
        <v>0</v>
      </c>
      <c r="T52" s="16" t="n">
        <f aca="false">IF(ABS(I52+J52-K52)&gt;0.01,1,0)</f>
        <v>0</v>
      </c>
      <c r="U52" s="16" t="n">
        <f aca="false">IFERROR(IF(ABS(J52-ROUND(I52*INDEX(Vendors!$G$2:$G$11,MATCH(C52,Vendors!$A$2:$A$11,0)),2))&gt;0.01,1,0),0)</f>
        <v>0</v>
      </c>
      <c r="V52" s="16" t="n">
        <f aca="false">IF(D52="Inactive",1,0)</f>
        <v>0</v>
      </c>
      <c r="W52" s="14" t="n">
        <f aca="false">SUMIFS(Payments!$D$2:$D$69,Payments!$F$2:$F$69,A52)</f>
        <v>1140.74</v>
      </c>
      <c r="X52" s="16" t="n">
        <f aca="false">IF(AND(M52=0,W52&gt;0,ABS(W52-K52)&gt;0.01),1,0)</f>
        <v>0</v>
      </c>
      <c r="Y52" s="16" t="n">
        <f aca="false">IF(AND(M52=0,W52=0,L52&lt;About!$B$3),1,0)</f>
        <v>0</v>
      </c>
      <c r="Z52" s="16" t="n">
        <f aca="false">M52+SUM(O52:V52)+X52+Y52</f>
        <v>0</v>
      </c>
    </row>
    <row r="53" customFormat="false" ht="15" hidden="false" customHeight="false" outlineLevel="0" collapsed="false">
      <c r="A53" s="2" t="str">
        <f aca="false">Invoices!A53</f>
        <v>INV-10159</v>
      </c>
      <c r="B53" s="2" t="str">
        <f aca="false">Invoices!B53</f>
        <v>lakeshore envelope co.</v>
      </c>
      <c r="C53" s="2" t="str">
        <f aca="false">IFERROR(INDEX(Vendor_Aliases!$B$2:$B$25,MATCH(UPPER(TRIM(B53)),Vendor_Aliases!$A$2:$A$25,0)),"UNKNOWN")</f>
        <v>V003</v>
      </c>
      <c r="D53" s="2" t="str">
        <f aca="false">IFERROR(INDEX(Vendors!$E$2:$E$11,MATCH(C53,Vendors!$A$2:$A$11,0)),"")</f>
        <v>Active</v>
      </c>
      <c r="E53" s="2" t="str">
        <f aca="false">IF(Invoices!C53="","",Invoices!C53)</f>
        <v>PO-4616</v>
      </c>
      <c r="F53" s="2" t="str">
        <f aca="false">IF(E53="","",IFERROR(INDEX(POs!$B$2:$B$61,MATCH(E53,POs!$A$2:$A$61,0)),"NOT FOUND"))</f>
        <v>V003</v>
      </c>
      <c r="G53" s="14" t="n">
        <f aca="false">IF(E53="","",IFERROR(INDEX(POs!$E$2:$E$61,MATCH(E53,POs!$A$2:$A$61,0)),""))</f>
        <v>4850</v>
      </c>
      <c r="H53" s="15" t="n">
        <f aca="false">Invoices!D53</f>
        <v>46204</v>
      </c>
      <c r="I53" s="14" t="n">
        <f aca="false">Invoices!E53</f>
        <v>1836.57</v>
      </c>
      <c r="J53" s="14" t="n">
        <f aca="false">Invoices!F53</f>
        <v>238.75</v>
      </c>
      <c r="K53" s="14" t="n">
        <f aca="false">Invoices!G53</f>
        <v>2075.32</v>
      </c>
      <c r="L53" s="15" t="n">
        <f aca="false">IFERROR(H53+INDEX(Vendors!$H$2:$H$11,MATCH(C53,Vendors!$A$2:$A$11,0)),H53+30)</f>
        <v>46249</v>
      </c>
      <c r="M53" s="16" t="n">
        <f aca="false">IF(COUNTIF($A$2:A53,A53)&gt;1,1,0)</f>
        <v>0</v>
      </c>
      <c r="N53" s="14" t="n">
        <f aca="false">IF(E53="","",SUMIFS($I$2:$I$97,$E$2:$E$97,E53,$M$2:$M$97,0))</f>
        <v>4035.8</v>
      </c>
      <c r="O53" s="16" t="n">
        <f aca="false">IF(C53="UNKNOWN",1,0)</f>
        <v>0</v>
      </c>
      <c r="P53" s="16" t="n">
        <f aca="false">IF(E53="",1,0)</f>
        <v>0</v>
      </c>
      <c r="Q53" s="16" t="n">
        <f aca="false">IF(F53="NOT FOUND",1,0)</f>
        <v>0</v>
      </c>
      <c r="R53" s="16" t="n">
        <f aca="false">IF(AND(F53&lt;&gt;"",F53&lt;&gt;"NOT FOUND",F53&lt;&gt;C53),1,0)</f>
        <v>0</v>
      </c>
      <c r="S53" s="16" t="n">
        <f aca="false">IF(AND(M53=0,ISNUMBER(G53),N53&gt;G53),1,0)</f>
        <v>0</v>
      </c>
      <c r="T53" s="16" t="n">
        <f aca="false">IF(ABS(I53+J53-K53)&gt;0.01,1,0)</f>
        <v>0</v>
      </c>
      <c r="U53" s="16" t="n">
        <f aca="false">IFERROR(IF(ABS(J53-ROUND(I53*INDEX(Vendors!$G$2:$G$11,MATCH(C53,Vendors!$A$2:$A$11,0)),2))&gt;0.01,1,0),0)</f>
        <v>0</v>
      </c>
      <c r="V53" s="16" t="n">
        <f aca="false">IF(D53="Inactive",1,0)</f>
        <v>0</v>
      </c>
      <c r="W53" s="14" t="n">
        <f aca="false">SUMIFS(Payments!$D$2:$D$69,Payments!$F$2:$F$69,A53)</f>
        <v>2075.32</v>
      </c>
      <c r="X53" s="16" t="n">
        <f aca="false">IF(AND(M53=0,W53&gt;0,ABS(W53-K53)&gt;0.01),1,0)</f>
        <v>0</v>
      </c>
      <c r="Y53" s="16" t="n">
        <f aca="false">IF(AND(M53=0,W53=0,L53&lt;About!$B$3),1,0)</f>
        <v>0</v>
      </c>
      <c r="Z53" s="16" t="n">
        <f aca="false">M53+SUM(O53:V53)+X53+Y53</f>
        <v>0</v>
      </c>
    </row>
    <row r="54" customFormat="false" ht="15" hidden="false" customHeight="false" outlineLevel="0" collapsed="false">
      <c r="A54" s="2" t="str">
        <f aca="false">Invoices!A54</f>
        <v>INV-10180</v>
      </c>
      <c r="B54" s="2" t="str">
        <f aca="false">Invoices!B54</f>
        <v>Clear Path Fulfillment</v>
      </c>
      <c r="C54" s="2" t="str">
        <f aca="false">IFERROR(INDEX(Vendor_Aliases!$B$2:$B$25,MATCH(UPPER(TRIM(B54)),Vendor_Aliases!$A$2:$A$25,0)),"UNKNOWN")</f>
        <v>V008</v>
      </c>
      <c r="D54" s="2" t="str">
        <f aca="false">IFERROR(INDEX(Vendors!$E$2:$E$11,MATCH(C54,Vendors!$A$2:$A$11,0)),"")</f>
        <v>Active</v>
      </c>
      <c r="E54" s="2" t="str">
        <f aca="false">IF(Invoices!C54="","",Invoices!C54)</f>
        <v>PO-4630</v>
      </c>
      <c r="F54" s="2" t="str">
        <f aca="false">IF(E54="","",IFERROR(INDEX(POs!$B$2:$B$61,MATCH(E54,POs!$A$2:$A$61,0)),"NOT FOUND"))</f>
        <v>V008</v>
      </c>
      <c r="G54" s="14" t="n">
        <f aca="false">IF(E54="","",IFERROR(INDEX(POs!$E$2:$E$61,MATCH(E54,POs!$A$2:$A$61,0)),""))</f>
        <v>7100</v>
      </c>
      <c r="H54" s="15" t="n">
        <f aca="false">Invoices!D54</f>
        <v>46262</v>
      </c>
      <c r="I54" s="14" t="n">
        <f aca="false">Invoices!E54</f>
        <v>6261.12</v>
      </c>
      <c r="J54" s="14" t="n">
        <f aca="false">Invoices!F54</f>
        <v>813.95</v>
      </c>
      <c r="K54" s="14" t="n">
        <f aca="false">Invoices!G54</f>
        <v>7075.07</v>
      </c>
      <c r="L54" s="15" t="n">
        <f aca="false">IFERROR(H54+INDEX(Vendors!$H$2:$H$11,MATCH(C54,Vendors!$A$2:$A$11,0)),H54+30)</f>
        <v>46292</v>
      </c>
      <c r="M54" s="16" t="n">
        <f aca="false">IF(COUNTIF($A$2:A54,A54)&gt;1,1,0)</f>
        <v>0</v>
      </c>
      <c r="N54" s="14" t="n">
        <f aca="false">IF(E54="","",SUMIFS($I$2:$I$97,$E$2:$E$97,E54,$M$2:$M$97,0))</f>
        <v>6261.12</v>
      </c>
      <c r="O54" s="16" t="n">
        <f aca="false">IF(C54="UNKNOWN",1,0)</f>
        <v>0</v>
      </c>
      <c r="P54" s="16" t="n">
        <f aca="false">IF(E54="",1,0)</f>
        <v>0</v>
      </c>
      <c r="Q54" s="16" t="n">
        <f aca="false">IF(F54="NOT FOUND",1,0)</f>
        <v>0</v>
      </c>
      <c r="R54" s="16" t="n">
        <f aca="false">IF(AND(F54&lt;&gt;"",F54&lt;&gt;"NOT FOUND",F54&lt;&gt;C54),1,0)</f>
        <v>0</v>
      </c>
      <c r="S54" s="16" t="n">
        <f aca="false">IF(AND(M54=0,ISNUMBER(G54),N54&gt;G54),1,0)</f>
        <v>0</v>
      </c>
      <c r="T54" s="16" t="n">
        <f aca="false">IF(ABS(I54+J54-K54)&gt;0.01,1,0)</f>
        <v>0</v>
      </c>
      <c r="U54" s="16" t="n">
        <f aca="false">IFERROR(IF(ABS(J54-ROUND(I54*INDEX(Vendors!$G$2:$G$11,MATCH(C54,Vendors!$A$2:$A$11,0)),2))&gt;0.01,1,0),0)</f>
        <v>0</v>
      </c>
      <c r="V54" s="16" t="n">
        <f aca="false">IF(D54="Inactive",1,0)</f>
        <v>0</v>
      </c>
      <c r="W54" s="14" t="n">
        <f aca="false">SUMIFS(Payments!$D$2:$D$69,Payments!$F$2:$F$69,A54)</f>
        <v>0</v>
      </c>
      <c r="X54" s="16" t="n">
        <f aca="false">IF(AND(M54=0,W54&gt;0,ABS(W54-K54)&gt;0.01),1,0)</f>
        <v>0</v>
      </c>
      <c r="Y54" s="16" t="n">
        <f aca="false">IF(AND(M54=0,W54=0,L54&lt;About!$B$3),1,0)</f>
        <v>1</v>
      </c>
      <c r="Z54" s="16" t="n">
        <f aca="false">M54+SUM(O54:V54)+X54+Y54</f>
        <v>1</v>
      </c>
    </row>
    <row r="55" customFormat="false" ht="15" hidden="false" customHeight="false" outlineLevel="0" collapsed="false">
      <c r="A55" s="2" t="str">
        <f aca="false">Invoices!A55</f>
        <v>INV-10009</v>
      </c>
      <c r="B55" s="2" t="str">
        <f aca="false">Invoices!B55</f>
        <v>Redwood Document Services</v>
      </c>
      <c r="C55" s="2" t="str">
        <f aca="false">IFERROR(INDEX(Vendor_Aliases!$B$2:$B$25,MATCH(UPPER(TRIM(B55)),Vendor_Aliases!$A$2:$A$25,0)),"UNKNOWN")</f>
        <v>V007</v>
      </c>
      <c r="D55" s="2" t="str">
        <f aca="false">IFERROR(INDEX(Vendors!$E$2:$E$11,MATCH(C55,Vendors!$A$2:$A$11,0)),"")</f>
        <v>Inactive</v>
      </c>
      <c r="E55" s="2" t="str">
        <f aca="false">IF(Invoices!C55="","",Invoices!C55)</f>
        <v>PO-4502</v>
      </c>
      <c r="F55" s="2" t="str">
        <f aca="false">IF(E55="","",IFERROR(INDEX(POs!$B$2:$B$61,MATCH(E55,POs!$A$2:$A$61,0)),"NOT FOUND"))</f>
        <v>V007</v>
      </c>
      <c r="G55" s="14" t="n">
        <f aca="false">IF(E55="","",IFERROR(INDEX(POs!$E$2:$E$61,MATCH(E55,POs!$A$2:$A$61,0)),""))</f>
        <v>17100</v>
      </c>
      <c r="H55" s="15" t="n">
        <f aca="false">Invoices!D55</f>
        <v>46217</v>
      </c>
      <c r="I55" s="14" t="n">
        <f aca="false">Invoices!E55</f>
        <v>6471.73</v>
      </c>
      <c r="J55" s="14" t="n">
        <f aca="false">Invoices!F55</f>
        <v>776.61</v>
      </c>
      <c r="K55" s="14" t="n">
        <f aca="false">Invoices!G55</f>
        <v>7248.34</v>
      </c>
      <c r="L55" s="15" t="n">
        <f aca="false">IFERROR(H55+INDEX(Vendors!$H$2:$H$11,MATCH(C55,Vendors!$A$2:$A$11,0)),H55+30)</f>
        <v>46247</v>
      </c>
      <c r="M55" s="16" t="n">
        <f aca="false">IF(COUNTIF($A$2:A55,A55)&gt;1,1,0)</f>
        <v>0</v>
      </c>
      <c r="N55" s="14" t="n">
        <f aca="false">IF(E55="","",SUMIFS($I$2:$I$97,$E$2:$E$97,E55,$M$2:$M$97,0))</f>
        <v>14261.19</v>
      </c>
      <c r="O55" s="16" t="n">
        <f aca="false">IF(C55="UNKNOWN",1,0)</f>
        <v>0</v>
      </c>
      <c r="P55" s="16" t="n">
        <f aca="false">IF(E55="",1,0)</f>
        <v>0</v>
      </c>
      <c r="Q55" s="16" t="n">
        <f aca="false">IF(F55="NOT FOUND",1,0)</f>
        <v>0</v>
      </c>
      <c r="R55" s="16" t="n">
        <f aca="false">IF(AND(F55&lt;&gt;"",F55&lt;&gt;"NOT FOUND",F55&lt;&gt;C55),1,0)</f>
        <v>0</v>
      </c>
      <c r="S55" s="16" t="n">
        <f aca="false">IF(AND(M55=0,ISNUMBER(G55),N55&gt;G55),1,0)</f>
        <v>0</v>
      </c>
      <c r="T55" s="16" t="n">
        <f aca="false">IF(ABS(I55+J55-K55)&gt;0.01,1,0)</f>
        <v>0</v>
      </c>
      <c r="U55" s="16" t="n">
        <f aca="false">IFERROR(IF(ABS(J55-ROUND(I55*INDEX(Vendors!$G$2:$G$11,MATCH(C55,Vendors!$A$2:$A$11,0)),2))&gt;0.01,1,0),0)</f>
        <v>0</v>
      </c>
      <c r="V55" s="16" t="n">
        <f aca="false">IF(D55="Inactive",1,0)</f>
        <v>1</v>
      </c>
      <c r="W55" s="14" t="n">
        <f aca="false">SUMIFS(Payments!$D$2:$D$69,Payments!$F$2:$F$69,A55)</f>
        <v>0</v>
      </c>
      <c r="X55" s="16" t="n">
        <f aca="false">IF(AND(M55=0,W55&gt;0,ABS(W55-K55)&gt;0.01),1,0)</f>
        <v>0</v>
      </c>
      <c r="Y55" s="16" t="n">
        <f aca="false">IF(AND(M55=0,W55=0,L55&lt;About!$B$3),1,0)</f>
        <v>1</v>
      </c>
      <c r="Z55" s="16" t="n">
        <f aca="false">M55+SUM(O55:V55)+X55+Y55</f>
        <v>2</v>
      </c>
    </row>
    <row r="56" customFormat="false" ht="15" hidden="false" customHeight="false" outlineLevel="0" collapsed="false">
      <c r="A56" s="2" t="str">
        <f aca="false">Invoices!A56</f>
        <v>INV-10074</v>
      </c>
      <c r="B56" s="2" t="str">
        <f aca="false">Invoices!B56</f>
        <v>Cedarline Paper</v>
      </c>
      <c r="C56" s="2" t="str">
        <f aca="false">IFERROR(INDEX(Vendor_Aliases!$B$2:$B$25,MATCH(UPPER(TRIM(B56)),Vendor_Aliases!$A$2:$A$25,0)),"UNKNOWN")</f>
        <v>V006</v>
      </c>
      <c r="D56" s="2" t="str">
        <f aca="false">IFERROR(INDEX(Vendors!$E$2:$E$11,MATCH(C56,Vendors!$A$2:$A$11,0)),"")</f>
        <v>Active</v>
      </c>
      <c r="E56" s="2" t="str">
        <f aca="false">IF(Invoices!C56="","",Invoices!C56)</f>
        <v>PO-4546</v>
      </c>
      <c r="F56" s="2" t="str">
        <f aca="false">IF(E56="","",IFERROR(INDEX(POs!$B$2:$B$61,MATCH(E56,POs!$A$2:$A$61,0)),"NOT FOUND"))</f>
        <v>V006</v>
      </c>
      <c r="G56" s="14" t="n">
        <f aca="false">IF(E56="","",IFERROR(INDEX(POs!$E$2:$E$61,MATCH(E56,POs!$A$2:$A$61,0)),""))</f>
        <v>16500</v>
      </c>
      <c r="H56" s="15" t="n">
        <f aca="false">Invoices!D56</f>
        <v>46094</v>
      </c>
      <c r="I56" s="14" t="n">
        <f aca="false">Invoices!E56</f>
        <v>16210.4</v>
      </c>
      <c r="J56" s="14" t="n">
        <f aca="false">Invoices!F56</f>
        <v>2107.35</v>
      </c>
      <c r="K56" s="14" t="n">
        <f aca="false">Invoices!G56</f>
        <v>18317.75</v>
      </c>
      <c r="L56" s="15" t="n">
        <f aca="false">IFERROR(H56+INDEX(Vendors!$H$2:$H$11,MATCH(C56,Vendors!$A$2:$A$11,0)),H56+30)</f>
        <v>46139</v>
      </c>
      <c r="M56" s="16" t="n">
        <f aca="false">IF(COUNTIF($A$2:A56,A56)&gt;1,1,0)</f>
        <v>0</v>
      </c>
      <c r="N56" s="14" t="n">
        <f aca="false">IF(E56="","",SUMIFS($I$2:$I$97,$E$2:$E$97,E56,$M$2:$M$97,0))</f>
        <v>16210.4</v>
      </c>
      <c r="O56" s="16" t="n">
        <f aca="false">IF(C56="UNKNOWN",1,0)</f>
        <v>0</v>
      </c>
      <c r="P56" s="16" t="n">
        <f aca="false">IF(E56="",1,0)</f>
        <v>0</v>
      </c>
      <c r="Q56" s="16" t="n">
        <f aca="false">IF(F56="NOT FOUND",1,0)</f>
        <v>0</v>
      </c>
      <c r="R56" s="16" t="n">
        <f aca="false">IF(AND(F56&lt;&gt;"",F56&lt;&gt;"NOT FOUND",F56&lt;&gt;C56),1,0)</f>
        <v>0</v>
      </c>
      <c r="S56" s="16" t="n">
        <f aca="false">IF(AND(M56=0,ISNUMBER(G56),N56&gt;G56),1,0)</f>
        <v>0</v>
      </c>
      <c r="T56" s="16" t="n">
        <f aca="false">IF(ABS(I56+J56-K56)&gt;0.01,1,0)</f>
        <v>0</v>
      </c>
      <c r="U56" s="16" t="n">
        <f aca="false">IFERROR(IF(ABS(J56-ROUND(I56*INDEX(Vendors!$G$2:$G$11,MATCH(C56,Vendors!$A$2:$A$11,0)),2))&gt;0.01,1,0),0)</f>
        <v>0</v>
      </c>
      <c r="V56" s="16" t="n">
        <f aca="false">IF(D56="Inactive",1,0)</f>
        <v>0</v>
      </c>
      <c r="W56" s="14" t="n">
        <f aca="false">SUMIFS(Payments!$D$2:$D$69,Payments!$F$2:$F$69,A56)</f>
        <v>18317.75</v>
      </c>
      <c r="X56" s="16" t="n">
        <f aca="false">IF(AND(M56=0,W56&gt;0,ABS(W56-K56)&gt;0.01),1,0)</f>
        <v>0</v>
      </c>
      <c r="Y56" s="16" t="n">
        <f aca="false">IF(AND(M56=0,W56=0,L56&lt;About!$B$3),1,0)</f>
        <v>0</v>
      </c>
      <c r="Z56" s="16" t="n">
        <f aca="false">M56+SUM(O56:V56)+X56+Y56</f>
        <v>0</v>
      </c>
    </row>
    <row r="57" customFormat="false" ht="15" hidden="false" customHeight="false" outlineLevel="0" collapsed="false">
      <c r="A57" s="2" t="str">
        <f aca="false">Invoices!A57</f>
        <v>INV-10185</v>
      </c>
      <c r="B57" s="2" t="str">
        <f aca="false">Invoices!B57</f>
        <v>ClearPath Fulfillment</v>
      </c>
      <c r="C57" s="2" t="str">
        <f aca="false">IFERROR(INDEX(Vendor_Aliases!$B$2:$B$25,MATCH(UPPER(TRIM(B57)),Vendor_Aliases!$A$2:$A$25,0)),"UNKNOWN")</f>
        <v>V008</v>
      </c>
      <c r="D57" s="2" t="str">
        <f aca="false">IFERROR(INDEX(Vendors!$E$2:$E$11,MATCH(C57,Vendors!$A$2:$A$11,0)),"")</f>
        <v>Active</v>
      </c>
      <c r="E57" s="2" t="str">
        <f aca="false">IF(Invoices!C57="","",Invoices!C57)</f>
        <v>PO-4636</v>
      </c>
      <c r="F57" s="2" t="str">
        <f aca="false">IF(E57="","",IFERROR(INDEX(POs!$B$2:$B$61,MATCH(E57,POs!$A$2:$A$61,0)),"NOT FOUND"))</f>
        <v>V008</v>
      </c>
      <c r="G57" s="14" t="n">
        <f aca="false">IF(E57="","",IFERROR(INDEX(POs!$E$2:$E$61,MATCH(E57,POs!$A$2:$A$61,0)),""))</f>
        <v>10950</v>
      </c>
      <c r="H57" s="15" t="n">
        <f aca="false">Invoices!D57</f>
        <v>46134</v>
      </c>
      <c r="I57" s="14" t="n">
        <f aca="false">Invoices!E57</f>
        <v>5142.68</v>
      </c>
      <c r="J57" s="14" t="n">
        <f aca="false">Invoices!F57</f>
        <v>668.55</v>
      </c>
      <c r="K57" s="14" t="n">
        <f aca="false">Invoices!G57</f>
        <v>5811.23</v>
      </c>
      <c r="L57" s="15" t="n">
        <f aca="false">IFERROR(H57+INDEX(Vendors!$H$2:$H$11,MATCH(C57,Vendors!$A$2:$A$11,0)),H57+30)</f>
        <v>46164</v>
      </c>
      <c r="M57" s="16" t="n">
        <f aca="false">IF(COUNTIF($A$2:A57,A57)&gt;1,1,0)</f>
        <v>0</v>
      </c>
      <c r="N57" s="14" t="n">
        <f aca="false">IF(E57="","",SUMIFS($I$2:$I$97,$E$2:$E$97,E57,$M$2:$M$97,0))</f>
        <v>9400.83</v>
      </c>
      <c r="O57" s="16" t="n">
        <f aca="false">IF(C57="UNKNOWN",1,0)</f>
        <v>0</v>
      </c>
      <c r="P57" s="16" t="n">
        <f aca="false">IF(E57="",1,0)</f>
        <v>0</v>
      </c>
      <c r="Q57" s="16" t="n">
        <f aca="false">IF(F57="NOT FOUND",1,0)</f>
        <v>0</v>
      </c>
      <c r="R57" s="16" t="n">
        <f aca="false">IF(AND(F57&lt;&gt;"",F57&lt;&gt;"NOT FOUND",F57&lt;&gt;C57),1,0)</f>
        <v>0</v>
      </c>
      <c r="S57" s="16" t="n">
        <f aca="false">IF(AND(M57=0,ISNUMBER(G57),N57&gt;G57),1,0)</f>
        <v>0</v>
      </c>
      <c r="T57" s="16" t="n">
        <f aca="false">IF(ABS(I57+J57-K57)&gt;0.01,1,0)</f>
        <v>0</v>
      </c>
      <c r="U57" s="16" t="n">
        <f aca="false">IFERROR(IF(ABS(J57-ROUND(I57*INDEX(Vendors!$G$2:$G$11,MATCH(C57,Vendors!$A$2:$A$11,0)),2))&gt;0.01,1,0),0)</f>
        <v>0</v>
      </c>
      <c r="V57" s="16" t="n">
        <f aca="false">IF(D57="Inactive",1,0)</f>
        <v>0</v>
      </c>
      <c r="W57" s="14" t="n">
        <f aca="false">SUMIFS(Payments!$D$2:$D$69,Payments!$F$2:$F$69,A57)</f>
        <v>5811.23</v>
      </c>
      <c r="X57" s="16" t="n">
        <f aca="false">IF(AND(M57=0,W57&gt;0,ABS(W57-K57)&gt;0.01),1,0)</f>
        <v>0</v>
      </c>
      <c r="Y57" s="16" t="n">
        <f aca="false">IF(AND(M57=0,W57=0,L57&lt;About!$B$3),1,0)</f>
        <v>0</v>
      </c>
      <c r="Z57" s="16" t="n">
        <f aca="false">M57+SUM(O57:V57)+X57+Y57</f>
        <v>0</v>
      </c>
    </row>
    <row r="58" customFormat="false" ht="15" hidden="false" customHeight="false" outlineLevel="0" collapsed="false">
      <c r="A58" s="2" t="str">
        <f aca="false">Invoices!A58</f>
        <v>INV-10139</v>
      </c>
      <c r="B58" s="2" t="str">
        <f aca="false">Invoices!B58</f>
        <v>Maple Mailing</v>
      </c>
      <c r="C58" s="2" t="str">
        <f aca="false">IFERROR(INDEX(Vendor_Aliases!$B$2:$B$25,MATCH(UPPER(TRIM(B58)),Vendor_Aliases!$A$2:$A$25,0)),"UNKNOWN")</f>
        <v>V002</v>
      </c>
      <c r="D58" s="2" t="str">
        <f aca="false">IFERROR(INDEX(Vendors!$E$2:$E$11,MATCH(C58,Vendors!$A$2:$A$11,0)),"")</f>
        <v>Active</v>
      </c>
      <c r="E58" s="2" t="str">
        <f aca="false">IF(Invoices!C58="","",Invoices!C58)</f>
        <v>PO-4602</v>
      </c>
      <c r="F58" s="2" t="str">
        <f aca="false">IF(E58="","",IFERROR(INDEX(POs!$B$2:$B$61,MATCH(E58,POs!$A$2:$A$61,0)),"NOT FOUND"))</f>
        <v>V002</v>
      </c>
      <c r="G58" s="14" t="n">
        <f aca="false">IF(E58="","",IFERROR(INDEX(POs!$E$2:$E$61,MATCH(E58,POs!$A$2:$A$61,0)),""))</f>
        <v>13200</v>
      </c>
      <c r="H58" s="15" t="n">
        <f aca="false">Invoices!D58</f>
        <v>46143</v>
      </c>
      <c r="I58" s="14" t="n">
        <f aca="false">Invoices!E58</f>
        <v>12024.94</v>
      </c>
      <c r="J58" s="14" t="n">
        <f aca="false">Invoices!F58</f>
        <v>1563.24</v>
      </c>
      <c r="K58" s="14" t="n">
        <f aca="false">Invoices!G58</f>
        <v>13588.18</v>
      </c>
      <c r="L58" s="15" t="n">
        <f aca="false">IFERROR(H58+INDEX(Vendors!$H$2:$H$11,MATCH(C58,Vendors!$A$2:$A$11,0)),H58+30)</f>
        <v>46173</v>
      </c>
      <c r="M58" s="16" t="n">
        <f aca="false">IF(COUNTIF($A$2:A58,A58)&gt;1,1,0)</f>
        <v>0</v>
      </c>
      <c r="N58" s="14" t="n">
        <f aca="false">IF(E58="","",SUMIFS($I$2:$I$97,$E$2:$E$97,E58,$M$2:$M$97,0))</f>
        <v>12024.94</v>
      </c>
      <c r="O58" s="16" t="n">
        <f aca="false">IF(C58="UNKNOWN",1,0)</f>
        <v>0</v>
      </c>
      <c r="P58" s="16" t="n">
        <f aca="false">IF(E58="",1,0)</f>
        <v>0</v>
      </c>
      <c r="Q58" s="16" t="n">
        <f aca="false">IF(F58="NOT FOUND",1,0)</f>
        <v>0</v>
      </c>
      <c r="R58" s="16" t="n">
        <f aca="false">IF(AND(F58&lt;&gt;"",F58&lt;&gt;"NOT FOUND",F58&lt;&gt;C58),1,0)</f>
        <v>0</v>
      </c>
      <c r="S58" s="16" t="n">
        <f aca="false">IF(AND(M58=0,ISNUMBER(G58),N58&gt;G58),1,0)</f>
        <v>0</v>
      </c>
      <c r="T58" s="16" t="n">
        <f aca="false">IF(ABS(I58+J58-K58)&gt;0.01,1,0)</f>
        <v>0</v>
      </c>
      <c r="U58" s="16" t="n">
        <f aca="false">IFERROR(IF(ABS(J58-ROUND(I58*INDEX(Vendors!$G$2:$G$11,MATCH(C58,Vendors!$A$2:$A$11,0)),2))&gt;0.01,1,0),0)</f>
        <v>0</v>
      </c>
      <c r="V58" s="16" t="n">
        <f aca="false">IF(D58="Inactive",1,0)</f>
        <v>0</v>
      </c>
      <c r="W58" s="14" t="n">
        <f aca="false">SUMIFS(Payments!$D$2:$D$69,Payments!$F$2:$F$69,A58)</f>
        <v>0</v>
      </c>
      <c r="X58" s="16" t="n">
        <f aca="false">IF(AND(M58=0,W58&gt;0,ABS(W58-K58)&gt;0.01),1,0)</f>
        <v>0</v>
      </c>
      <c r="Y58" s="16" t="n">
        <f aca="false">IF(AND(M58=0,W58=0,L58&lt;About!$B$3),1,0)</f>
        <v>1</v>
      </c>
      <c r="Z58" s="16" t="n">
        <f aca="false">M58+SUM(O58:V58)+X58+Y58</f>
        <v>1</v>
      </c>
    </row>
    <row r="59" customFormat="false" ht="15" hidden="false" customHeight="false" outlineLevel="0" collapsed="false">
      <c r="A59" s="2" t="str">
        <f aca="false">Invoices!A59</f>
        <v>INV-10102</v>
      </c>
      <c r="B59" s="2" t="str">
        <f aca="false">Invoices!B59</f>
        <v>Cedarline Paper</v>
      </c>
      <c r="C59" s="2" t="str">
        <f aca="false">IFERROR(INDEX(Vendor_Aliases!$B$2:$B$25,MATCH(UPPER(TRIM(B59)),Vendor_Aliases!$A$2:$A$25,0)),"UNKNOWN")</f>
        <v>V006</v>
      </c>
      <c r="D59" s="2" t="str">
        <f aca="false">IFERROR(INDEX(Vendors!$E$2:$E$11,MATCH(C59,Vendors!$A$2:$A$11,0)),"")</f>
        <v>Active</v>
      </c>
      <c r="E59" s="2" t="str">
        <f aca="false">IF(Invoices!C59="","",Invoices!C59)</f>
        <v>PO-4571</v>
      </c>
      <c r="F59" s="2" t="str">
        <f aca="false">IF(E59="","",IFERROR(INDEX(POs!$B$2:$B$61,MATCH(E59,POs!$A$2:$A$61,0)),"NOT FOUND"))</f>
        <v>V006</v>
      </c>
      <c r="G59" s="14" t="n">
        <f aca="false">IF(E59="","",IFERROR(INDEX(POs!$E$2:$E$61,MATCH(E59,POs!$A$2:$A$61,0)),""))</f>
        <v>19200</v>
      </c>
      <c r="H59" s="15" t="n">
        <f aca="false">Invoices!D59</f>
        <v>46163</v>
      </c>
      <c r="I59" s="14" t="n">
        <f aca="false">Invoices!E59</f>
        <v>12480</v>
      </c>
      <c r="J59" s="14" t="n">
        <f aca="false">Invoices!F59</f>
        <v>1622.4</v>
      </c>
      <c r="K59" s="14" t="n">
        <f aca="false">Invoices!G59</f>
        <v>14102.4</v>
      </c>
      <c r="L59" s="15" t="n">
        <f aca="false">IFERROR(H59+INDEX(Vendors!$H$2:$H$11,MATCH(C59,Vendors!$A$2:$A$11,0)),H59+30)</f>
        <v>46208</v>
      </c>
      <c r="M59" s="16" t="n">
        <f aca="false">IF(COUNTIF($A$2:A59,A59)&gt;1,1,0)</f>
        <v>0</v>
      </c>
      <c r="N59" s="14" t="n">
        <f aca="false">IF(E59="","",SUMIFS($I$2:$I$97,$E$2:$E$97,E59,$M$2:$M$97,0))</f>
        <v>22464</v>
      </c>
      <c r="O59" s="16" t="n">
        <f aca="false">IF(C59="UNKNOWN",1,0)</f>
        <v>0</v>
      </c>
      <c r="P59" s="16" t="n">
        <f aca="false">IF(E59="",1,0)</f>
        <v>0</v>
      </c>
      <c r="Q59" s="16" t="n">
        <f aca="false">IF(F59="NOT FOUND",1,0)</f>
        <v>0</v>
      </c>
      <c r="R59" s="16" t="n">
        <f aca="false">IF(AND(F59&lt;&gt;"",F59&lt;&gt;"NOT FOUND",F59&lt;&gt;C59),1,0)</f>
        <v>0</v>
      </c>
      <c r="S59" s="16" t="n">
        <f aca="false">IF(AND(M59=0,ISNUMBER(G59),N59&gt;G59),1,0)</f>
        <v>1</v>
      </c>
      <c r="T59" s="16" t="n">
        <f aca="false">IF(ABS(I59+J59-K59)&gt;0.01,1,0)</f>
        <v>0</v>
      </c>
      <c r="U59" s="16" t="n">
        <f aca="false">IFERROR(IF(ABS(J59-ROUND(I59*INDEX(Vendors!$G$2:$G$11,MATCH(C59,Vendors!$A$2:$A$11,0)),2))&gt;0.01,1,0),0)</f>
        <v>0</v>
      </c>
      <c r="V59" s="16" t="n">
        <f aca="false">IF(D59="Inactive",1,0)</f>
        <v>0</v>
      </c>
      <c r="W59" s="14" t="n">
        <f aca="false">SUMIFS(Payments!$D$2:$D$69,Payments!$F$2:$F$69,A59)</f>
        <v>0</v>
      </c>
      <c r="X59" s="16" t="n">
        <f aca="false">IF(AND(M59=0,W59&gt;0,ABS(W59-K59)&gt;0.01),1,0)</f>
        <v>0</v>
      </c>
      <c r="Y59" s="16" t="n">
        <f aca="false">IF(AND(M59=0,W59=0,L59&lt;About!$B$3),1,0)</f>
        <v>1</v>
      </c>
      <c r="Z59" s="16" t="n">
        <f aca="false">M59+SUM(O59:V59)+X59+Y59</f>
        <v>2</v>
      </c>
    </row>
    <row r="60" customFormat="false" ht="15" hidden="false" customHeight="false" outlineLevel="0" collapsed="false">
      <c r="A60" s="2" t="str">
        <f aca="false">Invoices!A60</f>
        <v>INV-10010</v>
      </c>
      <c r="B60" s="2" t="str">
        <f aca="false">Invoices!B60</f>
        <v>Bluewater Datamail</v>
      </c>
      <c r="C60" s="2" t="str">
        <f aca="false">IFERROR(INDEX(Vendor_Aliases!$B$2:$B$25,MATCH(UPPER(TRIM(B60)),Vendor_Aliases!$A$2:$A$25,0)),"UNKNOWN")</f>
        <v>V010</v>
      </c>
      <c r="D60" s="2" t="str">
        <f aca="false">IFERROR(INDEX(Vendors!$E$2:$E$11,MATCH(C60,Vendors!$A$2:$A$11,0)),"")</f>
        <v>Inactive</v>
      </c>
      <c r="E60" s="2" t="str">
        <f aca="false">IF(Invoices!C60="","",Invoices!C60)</f>
        <v>PO-4503</v>
      </c>
      <c r="F60" s="2" t="str">
        <f aca="false">IF(E60="","",IFERROR(INDEX(POs!$B$2:$B$61,MATCH(E60,POs!$A$2:$A$61,0)),"NOT FOUND"))</f>
        <v>V010</v>
      </c>
      <c r="G60" s="14" t="n">
        <f aca="false">IF(E60="","",IFERROR(INDEX(POs!$E$2:$E$61,MATCH(E60,POs!$A$2:$A$61,0)),""))</f>
        <v>7950</v>
      </c>
      <c r="H60" s="15" t="n">
        <f aca="false">Invoices!D60</f>
        <v>46060</v>
      </c>
      <c r="I60" s="14" t="n">
        <f aca="false">Invoices!E60</f>
        <v>3906.8</v>
      </c>
      <c r="J60" s="14" t="n">
        <f aca="false">Invoices!F60</f>
        <v>507.88</v>
      </c>
      <c r="K60" s="14" t="n">
        <f aca="false">Invoices!G60</f>
        <v>4414.68</v>
      </c>
      <c r="L60" s="15" t="n">
        <f aca="false">IFERROR(H60+INDEX(Vendors!$H$2:$H$11,MATCH(C60,Vendors!$A$2:$A$11,0)),H60+30)</f>
        <v>46090</v>
      </c>
      <c r="M60" s="16" t="n">
        <f aca="false">IF(COUNTIF($A$2:A60,A60)&gt;1,1,0)</f>
        <v>0</v>
      </c>
      <c r="N60" s="14" t="n">
        <f aca="false">IF(E60="","",SUMIFS($I$2:$I$97,$E$2:$E$97,E60,$M$2:$M$97,0))</f>
        <v>6749.56</v>
      </c>
      <c r="O60" s="16" t="n">
        <f aca="false">IF(C60="UNKNOWN",1,0)</f>
        <v>0</v>
      </c>
      <c r="P60" s="16" t="n">
        <f aca="false">IF(E60="",1,0)</f>
        <v>0</v>
      </c>
      <c r="Q60" s="16" t="n">
        <f aca="false">IF(F60="NOT FOUND",1,0)</f>
        <v>0</v>
      </c>
      <c r="R60" s="16" t="n">
        <f aca="false">IF(AND(F60&lt;&gt;"",F60&lt;&gt;"NOT FOUND",F60&lt;&gt;C60),1,0)</f>
        <v>0</v>
      </c>
      <c r="S60" s="16" t="n">
        <f aca="false">IF(AND(M60=0,ISNUMBER(G60),N60&gt;G60),1,0)</f>
        <v>0</v>
      </c>
      <c r="T60" s="16" t="n">
        <f aca="false">IF(ABS(I60+J60-K60)&gt;0.01,1,0)</f>
        <v>0</v>
      </c>
      <c r="U60" s="16" t="n">
        <f aca="false">IFERROR(IF(ABS(J60-ROUND(I60*INDEX(Vendors!$G$2:$G$11,MATCH(C60,Vendors!$A$2:$A$11,0)),2))&gt;0.01,1,0),0)</f>
        <v>0</v>
      </c>
      <c r="V60" s="16" t="n">
        <f aca="false">IF(D60="Inactive",1,0)</f>
        <v>1</v>
      </c>
      <c r="W60" s="14" t="n">
        <f aca="false">SUMIFS(Payments!$D$2:$D$69,Payments!$F$2:$F$69,A60)</f>
        <v>4414.68</v>
      </c>
      <c r="X60" s="16" t="n">
        <f aca="false">IF(AND(M60=0,W60&gt;0,ABS(W60-K60)&gt;0.01),1,0)</f>
        <v>0</v>
      </c>
      <c r="Y60" s="16" t="n">
        <f aca="false">IF(AND(M60=0,W60=0,L60&lt;About!$B$3),1,0)</f>
        <v>0</v>
      </c>
      <c r="Z60" s="16" t="n">
        <f aca="false">M60+SUM(O60:V60)+X60+Y60</f>
        <v>1</v>
      </c>
    </row>
    <row r="61" customFormat="false" ht="15" hidden="false" customHeight="false" outlineLevel="0" collapsed="false">
      <c r="A61" s="2" t="str">
        <f aca="false">Invoices!A61</f>
        <v>INV-10082</v>
      </c>
      <c r="B61" s="2" t="str">
        <f aca="false">Invoices!B61</f>
        <v>Harbourview Postage</v>
      </c>
      <c r="C61" s="2" t="str">
        <f aca="false">IFERROR(INDEX(Vendor_Aliases!$B$2:$B$25,MATCH(UPPER(TRIM(B61)),Vendor_Aliases!$A$2:$A$25,0)),"UNKNOWN")</f>
        <v>V005</v>
      </c>
      <c r="D61" s="2" t="str">
        <f aca="false">IFERROR(INDEX(Vendors!$E$2:$E$11,MATCH(C61,Vendors!$A$2:$A$11,0)),"")</f>
        <v>Active</v>
      </c>
      <c r="E61" s="2" t="str">
        <f aca="false">IF(Invoices!C61="","",Invoices!C61)</f>
        <v>PO-4557</v>
      </c>
      <c r="F61" s="2" t="str">
        <f aca="false">IF(E61="","",IFERROR(INDEX(POs!$B$2:$B$61,MATCH(E61,POs!$A$2:$A$61,0)),"NOT FOUND"))</f>
        <v>V005</v>
      </c>
      <c r="G61" s="14" t="n">
        <f aca="false">IF(E61="","",IFERROR(INDEX(POs!$E$2:$E$61,MATCH(E61,POs!$A$2:$A$61,0)),""))</f>
        <v>15200</v>
      </c>
      <c r="H61" s="15" t="n">
        <f aca="false">Invoices!D61</f>
        <v>46217</v>
      </c>
      <c r="I61" s="14" t="n">
        <f aca="false">Invoices!E61</f>
        <v>14082.17</v>
      </c>
      <c r="J61" s="14" t="n">
        <f aca="false">Invoices!F61</f>
        <v>1830.68</v>
      </c>
      <c r="K61" s="14" t="n">
        <f aca="false">Invoices!G61</f>
        <v>15912.85</v>
      </c>
      <c r="L61" s="15" t="n">
        <f aca="false">IFERROR(H61+INDEX(Vendors!$H$2:$H$11,MATCH(C61,Vendors!$A$2:$A$11,0)),H61+30)</f>
        <v>46232</v>
      </c>
      <c r="M61" s="16" t="n">
        <f aca="false">IF(COUNTIF($A$2:A61,A61)&gt;1,1,0)</f>
        <v>0</v>
      </c>
      <c r="N61" s="14" t="n">
        <f aca="false">IF(E61="","",SUMIFS($I$2:$I$97,$E$2:$E$97,E61,$M$2:$M$97,0))</f>
        <v>14082.17</v>
      </c>
      <c r="O61" s="16" t="n">
        <f aca="false">IF(C61="UNKNOWN",1,0)</f>
        <v>0</v>
      </c>
      <c r="P61" s="16" t="n">
        <f aca="false">IF(E61="",1,0)</f>
        <v>0</v>
      </c>
      <c r="Q61" s="16" t="n">
        <f aca="false">IF(F61="NOT FOUND",1,0)</f>
        <v>0</v>
      </c>
      <c r="R61" s="16" t="n">
        <f aca="false">IF(AND(F61&lt;&gt;"",F61&lt;&gt;"NOT FOUND",F61&lt;&gt;C61),1,0)</f>
        <v>0</v>
      </c>
      <c r="S61" s="16" t="n">
        <f aca="false">IF(AND(M61=0,ISNUMBER(G61),N61&gt;G61),1,0)</f>
        <v>0</v>
      </c>
      <c r="T61" s="16" t="n">
        <f aca="false">IF(ABS(I61+J61-K61)&gt;0.01,1,0)</f>
        <v>0</v>
      </c>
      <c r="U61" s="16" t="n">
        <f aca="false">IFERROR(IF(ABS(J61-ROUND(I61*INDEX(Vendors!$G$2:$G$11,MATCH(C61,Vendors!$A$2:$A$11,0)),2))&gt;0.01,1,0),0)</f>
        <v>0</v>
      </c>
      <c r="V61" s="16" t="n">
        <f aca="false">IF(D61="Inactive",1,0)</f>
        <v>0</v>
      </c>
      <c r="W61" s="14" t="n">
        <f aca="false">SUMIFS(Payments!$D$2:$D$69,Payments!$F$2:$F$69,A61)</f>
        <v>0</v>
      </c>
      <c r="X61" s="16" t="n">
        <f aca="false">IF(AND(M61=0,W61&gt;0,ABS(W61-K61)&gt;0.01),1,0)</f>
        <v>0</v>
      </c>
      <c r="Y61" s="16" t="n">
        <f aca="false">IF(AND(M61=0,W61=0,L61&lt;About!$B$3),1,0)</f>
        <v>1</v>
      </c>
      <c r="Z61" s="16" t="n">
        <f aca="false">M61+SUM(O61:V61)+X61+Y61</f>
        <v>1</v>
      </c>
    </row>
    <row r="62" customFormat="false" ht="15" hidden="false" customHeight="false" outlineLevel="0" collapsed="false">
      <c r="A62" s="2" t="str">
        <f aca="false">Invoices!A62</f>
        <v>INV-10186</v>
      </c>
      <c r="B62" s="2" t="str">
        <f aca="false">Invoices!B62</f>
        <v>CLEARPATH FULFILMENT</v>
      </c>
      <c r="C62" s="2" t="str">
        <f aca="false">IFERROR(INDEX(Vendor_Aliases!$B$2:$B$25,MATCH(UPPER(TRIM(B62)),Vendor_Aliases!$A$2:$A$25,0)),"UNKNOWN")</f>
        <v>V008</v>
      </c>
      <c r="D62" s="2" t="str">
        <f aca="false">IFERROR(INDEX(Vendors!$E$2:$E$11,MATCH(C62,Vendors!$A$2:$A$11,0)),"")</f>
        <v>Active</v>
      </c>
      <c r="E62" s="2" t="str">
        <f aca="false">IF(Invoices!C62="","",Invoices!C62)</f>
        <v>PO-4636</v>
      </c>
      <c r="F62" s="2" t="str">
        <f aca="false">IF(E62="","",IFERROR(INDEX(POs!$B$2:$B$61,MATCH(E62,POs!$A$2:$A$61,0)),"NOT FOUND"))</f>
        <v>V008</v>
      </c>
      <c r="G62" s="14" t="n">
        <f aca="false">IF(E62="","",IFERROR(INDEX(POs!$E$2:$E$61,MATCH(E62,POs!$A$2:$A$61,0)),""))</f>
        <v>10950</v>
      </c>
      <c r="H62" s="15" t="n">
        <f aca="false">Invoices!D62</f>
        <v>46121</v>
      </c>
      <c r="I62" s="14" t="n">
        <f aca="false">Invoices!E62</f>
        <v>4258.15</v>
      </c>
      <c r="J62" s="14" t="n">
        <f aca="false">Invoices!F62</f>
        <v>553.56</v>
      </c>
      <c r="K62" s="14" t="n">
        <f aca="false">Invoices!G62</f>
        <v>4811.71</v>
      </c>
      <c r="L62" s="15" t="n">
        <f aca="false">IFERROR(H62+INDEX(Vendors!$H$2:$H$11,MATCH(C62,Vendors!$A$2:$A$11,0)),H62+30)</f>
        <v>46151</v>
      </c>
      <c r="M62" s="16" t="n">
        <f aca="false">IF(COUNTIF($A$2:A62,A62)&gt;1,1,0)</f>
        <v>0</v>
      </c>
      <c r="N62" s="14" t="n">
        <f aca="false">IF(E62="","",SUMIFS($I$2:$I$97,$E$2:$E$97,E62,$M$2:$M$97,0))</f>
        <v>9400.83</v>
      </c>
      <c r="O62" s="16" t="n">
        <f aca="false">IF(C62="UNKNOWN",1,0)</f>
        <v>0</v>
      </c>
      <c r="P62" s="16" t="n">
        <f aca="false">IF(E62="",1,0)</f>
        <v>0</v>
      </c>
      <c r="Q62" s="16" t="n">
        <f aca="false">IF(F62="NOT FOUND",1,0)</f>
        <v>0</v>
      </c>
      <c r="R62" s="16" t="n">
        <f aca="false">IF(AND(F62&lt;&gt;"",F62&lt;&gt;"NOT FOUND",F62&lt;&gt;C62),1,0)</f>
        <v>0</v>
      </c>
      <c r="S62" s="16" t="n">
        <f aca="false">IF(AND(M62=0,ISNUMBER(G62),N62&gt;G62),1,0)</f>
        <v>0</v>
      </c>
      <c r="T62" s="16" t="n">
        <f aca="false">IF(ABS(I62+J62-K62)&gt;0.01,1,0)</f>
        <v>0</v>
      </c>
      <c r="U62" s="16" t="n">
        <f aca="false">IFERROR(IF(ABS(J62-ROUND(I62*INDEX(Vendors!$G$2:$G$11,MATCH(C62,Vendors!$A$2:$A$11,0)),2))&gt;0.01,1,0),0)</f>
        <v>0</v>
      </c>
      <c r="V62" s="16" t="n">
        <f aca="false">IF(D62="Inactive",1,0)</f>
        <v>0</v>
      </c>
      <c r="W62" s="14" t="n">
        <f aca="false">SUMIFS(Payments!$D$2:$D$69,Payments!$F$2:$F$69,A62)</f>
        <v>4811.71</v>
      </c>
      <c r="X62" s="16" t="n">
        <f aca="false">IF(AND(M62=0,W62&gt;0,ABS(W62-K62)&gt;0.01),1,0)</f>
        <v>0</v>
      </c>
      <c r="Y62" s="16" t="n">
        <f aca="false">IF(AND(M62=0,W62=0,L62&lt;About!$B$3),1,0)</f>
        <v>0</v>
      </c>
      <c r="Z62" s="16" t="n">
        <f aca="false">M62+SUM(O62:V62)+X62+Y62</f>
        <v>0</v>
      </c>
    </row>
    <row r="63" customFormat="false" ht="15" hidden="false" customHeight="false" outlineLevel="0" collapsed="false">
      <c r="A63" s="2" t="str">
        <f aca="false">Invoices!A63</f>
        <v>INV-10020</v>
      </c>
      <c r="B63" s="2" t="str">
        <f aca="false">Invoices!B63</f>
        <v>Lakeshore Envelope Company</v>
      </c>
      <c r="C63" s="2" t="str">
        <f aca="false">IFERROR(INDEX(Vendor_Aliases!$B$2:$B$25,MATCH(UPPER(TRIM(B63)),Vendor_Aliases!$A$2:$A$25,0)),"UNKNOWN")</f>
        <v>V003</v>
      </c>
      <c r="D63" s="2" t="str">
        <f aca="false">IFERROR(INDEX(Vendors!$E$2:$E$11,MATCH(C63,Vendors!$A$2:$A$11,0)),"")</f>
        <v>Active</v>
      </c>
      <c r="E63" s="2" t="str">
        <f aca="false">IF(Invoices!C63="","",Invoices!C63)</f>
        <v>PO-4508</v>
      </c>
      <c r="F63" s="2" t="str">
        <f aca="false">IF(E63="","",IFERROR(INDEX(POs!$B$2:$B$61,MATCH(E63,POs!$A$2:$A$61,0)),"NOT FOUND"))</f>
        <v>V003</v>
      </c>
      <c r="G63" s="14" t="n">
        <f aca="false">IF(E63="","",IFERROR(INDEX(POs!$E$2:$E$61,MATCH(E63,POs!$A$2:$A$61,0)),""))</f>
        <v>4350</v>
      </c>
      <c r="H63" s="15" t="n">
        <f aca="false">Invoices!D63</f>
        <v>46246</v>
      </c>
      <c r="I63" s="14" t="n">
        <f aca="false">Invoices!E63</f>
        <v>4072.35</v>
      </c>
      <c r="J63" s="14" t="n">
        <f aca="false">Invoices!F63</f>
        <v>529.41</v>
      </c>
      <c r="K63" s="14" t="n">
        <f aca="false">Invoices!G63</f>
        <v>4601.76</v>
      </c>
      <c r="L63" s="15" t="n">
        <f aca="false">IFERROR(H63+INDEX(Vendors!$H$2:$H$11,MATCH(C63,Vendors!$A$2:$A$11,0)),H63+30)</f>
        <v>46291</v>
      </c>
      <c r="M63" s="16" t="n">
        <f aca="false">IF(COUNTIF($A$2:A63,A63)&gt;1,1,0)</f>
        <v>0</v>
      </c>
      <c r="N63" s="14" t="n">
        <f aca="false">IF(E63="","",SUMIFS($I$2:$I$97,$E$2:$E$97,E63,$M$2:$M$97,0))</f>
        <v>4072.35</v>
      </c>
      <c r="O63" s="16" t="n">
        <f aca="false">IF(C63="UNKNOWN",1,0)</f>
        <v>0</v>
      </c>
      <c r="P63" s="16" t="n">
        <f aca="false">IF(E63="",1,0)</f>
        <v>0</v>
      </c>
      <c r="Q63" s="16" t="n">
        <f aca="false">IF(F63="NOT FOUND",1,0)</f>
        <v>0</v>
      </c>
      <c r="R63" s="16" t="n">
        <f aca="false">IF(AND(F63&lt;&gt;"",F63&lt;&gt;"NOT FOUND",F63&lt;&gt;C63),1,0)</f>
        <v>0</v>
      </c>
      <c r="S63" s="16" t="n">
        <f aca="false">IF(AND(M63=0,ISNUMBER(G63),N63&gt;G63),1,0)</f>
        <v>0</v>
      </c>
      <c r="T63" s="16" t="n">
        <f aca="false">IF(ABS(I63+J63-K63)&gt;0.01,1,0)</f>
        <v>0</v>
      </c>
      <c r="U63" s="16" t="n">
        <f aca="false">IFERROR(IF(ABS(J63-ROUND(I63*INDEX(Vendors!$G$2:$G$11,MATCH(C63,Vendors!$A$2:$A$11,0)),2))&gt;0.01,1,0),0)</f>
        <v>0</v>
      </c>
      <c r="V63" s="16" t="n">
        <f aca="false">IF(D63="Inactive",1,0)</f>
        <v>0</v>
      </c>
      <c r="W63" s="14" t="n">
        <f aca="false">SUMIFS(Payments!$D$2:$D$69,Payments!$F$2:$F$69,A63)</f>
        <v>0</v>
      </c>
      <c r="X63" s="16" t="n">
        <f aca="false">IF(AND(M63=0,W63&gt;0,ABS(W63-K63)&gt;0.01),1,0)</f>
        <v>0</v>
      </c>
      <c r="Y63" s="16" t="n">
        <f aca="false">IF(AND(M63=0,W63=0,L63&lt;About!$B$3),1,0)</f>
        <v>1</v>
      </c>
      <c r="Z63" s="16" t="n">
        <f aca="false">M63+SUM(O63:V63)+X63+Y63</f>
        <v>1</v>
      </c>
    </row>
    <row r="64" customFormat="false" ht="15" hidden="false" customHeight="false" outlineLevel="0" collapsed="false">
      <c r="A64" s="2" t="str">
        <f aca="false">Invoices!A64</f>
        <v>INV-10149</v>
      </c>
      <c r="B64" s="2" t="str">
        <f aca="false">Invoices!B64</f>
        <v>Harbor View Postage Ltd.</v>
      </c>
      <c r="C64" s="2" t="str">
        <f aca="false">IFERROR(INDEX(Vendor_Aliases!$B$2:$B$25,MATCH(UPPER(TRIM(B64)),Vendor_Aliases!$A$2:$A$25,0)),"UNKNOWN")</f>
        <v>V005</v>
      </c>
      <c r="D64" s="2" t="str">
        <f aca="false">IFERROR(INDEX(Vendors!$E$2:$E$11,MATCH(C64,Vendors!$A$2:$A$11,0)),"")</f>
        <v>Active</v>
      </c>
      <c r="E64" s="2" t="str">
        <f aca="false">IF(Invoices!C64="","",Invoices!C64)</f>
        <v>PO-4611</v>
      </c>
      <c r="F64" s="2" t="str">
        <f aca="false">IF(E64="","",IFERROR(INDEX(POs!$B$2:$B$61,MATCH(E64,POs!$A$2:$A$61,0)),"NOT FOUND"))</f>
        <v>V005</v>
      </c>
      <c r="G64" s="14" t="n">
        <f aca="false">IF(E64="","",IFERROR(INDEX(POs!$E$2:$E$61,MATCH(E64,POs!$A$2:$A$61,0)),""))</f>
        <v>18200</v>
      </c>
      <c r="H64" s="15" t="n">
        <f aca="false">Invoices!D64</f>
        <v>46112</v>
      </c>
      <c r="I64" s="14" t="n">
        <f aca="false">Invoices!E64</f>
        <v>6404.19</v>
      </c>
      <c r="J64" s="14" t="n">
        <f aca="false">Invoices!F64</f>
        <v>832.54</v>
      </c>
      <c r="K64" s="14" t="n">
        <f aca="false">Invoices!G64</f>
        <v>7236.73</v>
      </c>
      <c r="L64" s="15" t="n">
        <f aca="false">IFERROR(H64+INDEX(Vendors!$H$2:$H$11,MATCH(C64,Vendors!$A$2:$A$11,0)),H64+30)</f>
        <v>46127</v>
      </c>
      <c r="M64" s="16" t="n">
        <f aca="false">IF(COUNTIF($A$2:A64,A64)&gt;1,1,0)</f>
        <v>0</v>
      </c>
      <c r="N64" s="14" t="n">
        <f aca="false">IF(E64="","",SUMIFS($I$2:$I$97,$E$2:$E$97,E64,$M$2:$M$97,0))</f>
        <v>15223.3</v>
      </c>
      <c r="O64" s="16" t="n">
        <f aca="false">IF(C64="UNKNOWN",1,0)</f>
        <v>0</v>
      </c>
      <c r="P64" s="16" t="n">
        <f aca="false">IF(E64="",1,0)</f>
        <v>0</v>
      </c>
      <c r="Q64" s="16" t="n">
        <f aca="false">IF(F64="NOT FOUND",1,0)</f>
        <v>0</v>
      </c>
      <c r="R64" s="16" t="n">
        <f aca="false">IF(AND(F64&lt;&gt;"",F64&lt;&gt;"NOT FOUND",F64&lt;&gt;C64),1,0)</f>
        <v>0</v>
      </c>
      <c r="S64" s="16" t="n">
        <f aca="false">IF(AND(M64=0,ISNUMBER(G64),N64&gt;G64),1,0)</f>
        <v>0</v>
      </c>
      <c r="T64" s="16" t="n">
        <f aca="false">IF(ABS(I64+J64-K64)&gt;0.01,1,0)</f>
        <v>0</v>
      </c>
      <c r="U64" s="16" t="n">
        <f aca="false">IFERROR(IF(ABS(J64-ROUND(I64*INDEX(Vendors!$G$2:$G$11,MATCH(C64,Vendors!$A$2:$A$11,0)),2))&gt;0.01,1,0),0)</f>
        <v>0</v>
      </c>
      <c r="V64" s="16" t="n">
        <f aca="false">IF(D64="Inactive",1,0)</f>
        <v>0</v>
      </c>
      <c r="W64" s="14" t="n">
        <f aca="false">SUMIFS(Payments!$D$2:$D$69,Payments!$F$2:$F$69,A64)</f>
        <v>0</v>
      </c>
      <c r="X64" s="16" t="n">
        <f aca="false">IF(AND(M64=0,W64&gt;0,ABS(W64-K64)&gt;0.01),1,0)</f>
        <v>0</v>
      </c>
      <c r="Y64" s="16" t="n">
        <f aca="false">IF(AND(M64=0,W64=0,L64&lt;About!$B$3),1,0)</f>
        <v>1</v>
      </c>
      <c r="Z64" s="16" t="n">
        <f aca="false">M64+SUM(O64:V64)+X64+Y64</f>
        <v>1</v>
      </c>
    </row>
    <row r="65" customFormat="false" ht="15" hidden="false" customHeight="false" outlineLevel="0" collapsed="false">
      <c r="A65" s="2" t="str">
        <f aca="false">Invoices!A65</f>
        <v>INV-10071</v>
      </c>
      <c r="B65" s="2" t="str">
        <f aca="false">Invoices!B65</f>
        <v>Lakeshore Envelope Company</v>
      </c>
      <c r="C65" s="2" t="str">
        <f aca="false">IFERROR(INDEX(Vendor_Aliases!$B$2:$B$25,MATCH(UPPER(TRIM(B65)),Vendor_Aliases!$A$2:$A$25,0)),"UNKNOWN")</f>
        <v>V003</v>
      </c>
      <c r="D65" s="2" t="str">
        <f aca="false">IFERROR(INDEX(Vendors!$E$2:$E$11,MATCH(C65,Vendors!$A$2:$A$11,0)),"")</f>
        <v>Active</v>
      </c>
      <c r="E65" s="2" t="str">
        <f aca="false">IF(Invoices!C65="","",Invoices!C65)</f>
        <v>PO-4543</v>
      </c>
      <c r="F65" s="2" t="str">
        <f aca="false">IF(E65="","",IFERROR(INDEX(POs!$B$2:$B$61,MATCH(E65,POs!$A$2:$A$61,0)),"NOT FOUND"))</f>
        <v>V003</v>
      </c>
      <c r="G65" s="14" t="n">
        <f aca="false">IF(E65="","",IFERROR(INDEX(POs!$E$2:$E$61,MATCH(E65,POs!$A$2:$A$61,0)),""))</f>
        <v>2450</v>
      </c>
      <c r="H65" s="15" t="n">
        <f aca="false">Invoices!D65</f>
        <v>46209</v>
      </c>
      <c r="I65" s="14" t="n">
        <f aca="false">Invoices!E65</f>
        <v>947.27</v>
      </c>
      <c r="J65" s="14" t="n">
        <f aca="false">Invoices!F65</f>
        <v>123.15</v>
      </c>
      <c r="K65" s="14" t="n">
        <f aca="false">Invoices!G65</f>
        <v>1070.42</v>
      </c>
      <c r="L65" s="15" t="n">
        <f aca="false">IFERROR(H65+INDEX(Vendors!$H$2:$H$11,MATCH(C65,Vendors!$A$2:$A$11,0)),H65+30)</f>
        <v>46254</v>
      </c>
      <c r="M65" s="16" t="n">
        <f aca="false">IF(COUNTIF($A$2:A65,A65)&gt;1,1,0)</f>
        <v>0</v>
      </c>
      <c r="N65" s="14" t="n">
        <f aca="false">IF(E65="","",SUMIFS($I$2:$I$97,$E$2:$E$97,E65,$M$2:$M$97,0))</f>
        <v>2068.43</v>
      </c>
      <c r="O65" s="16" t="n">
        <f aca="false">IF(C65="UNKNOWN",1,0)</f>
        <v>0</v>
      </c>
      <c r="P65" s="16" t="n">
        <f aca="false">IF(E65="",1,0)</f>
        <v>0</v>
      </c>
      <c r="Q65" s="16" t="n">
        <f aca="false">IF(F65="NOT FOUND",1,0)</f>
        <v>0</v>
      </c>
      <c r="R65" s="16" t="n">
        <f aca="false">IF(AND(F65&lt;&gt;"",F65&lt;&gt;"NOT FOUND",F65&lt;&gt;C65),1,0)</f>
        <v>0</v>
      </c>
      <c r="S65" s="16" t="n">
        <f aca="false">IF(AND(M65=0,ISNUMBER(G65),N65&gt;G65),1,0)</f>
        <v>0</v>
      </c>
      <c r="T65" s="16" t="n">
        <f aca="false">IF(ABS(I65+J65-K65)&gt;0.01,1,0)</f>
        <v>0</v>
      </c>
      <c r="U65" s="16" t="n">
        <f aca="false">IFERROR(IF(ABS(J65-ROUND(I65*INDEX(Vendors!$G$2:$G$11,MATCH(C65,Vendors!$A$2:$A$11,0)),2))&gt;0.01,1,0),0)</f>
        <v>0</v>
      </c>
      <c r="V65" s="16" t="n">
        <f aca="false">IF(D65="Inactive",1,0)</f>
        <v>0</v>
      </c>
      <c r="W65" s="14" t="n">
        <f aca="false">SUMIFS(Payments!$D$2:$D$69,Payments!$F$2:$F$69,A65)</f>
        <v>1070.42</v>
      </c>
      <c r="X65" s="16" t="n">
        <f aca="false">IF(AND(M65=0,W65&gt;0,ABS(W65-K65)&gt;0.01),1,0)</f>
        <v>0</v>
      </c>
      <c r="Y65" s="16" t="n">
        <f aca="false">IF(AND(M65=0,W65=0,L65&lt;About!$B$3),1,0)</f>
        <v>0</v>
      </c>
      <c r="Z65" s="16" t="n">
        <f aca="false">M65+SUM(O65:V65)+X65+Y65</f>
        <v>0</v>
      </c>
    </row>
    <row r="66" customFormat="false" ht="15" hidden="false" customHeight="false" outlineLevel="0" collapsed="false">
      <c r="A66" s="2" t="str">
        <f aca="false">Invoices!A66</f>
        <v>INV-10137</v>
      </c>
      <c r="B66" s="2" t="str">
        <f aca="false">Invoices!B66</f>
        <v>Maple Mailing</v>
      </c>
      <c r="C66" s="2" t="str">
        <f aca="false">IFERROR(INDEX(Vendor_Aliases!$B$2:$B$25,MATCH(UPPER(TRIM(B66)),Vendor_Aliases!$A$2:$A$25,0)),"UNKNOWN")</f>
        <v>V002</v>
      </c>
      <c r="D66" s="2" t="str">
        <f aca="false">IFERROR(INDEX(Vendors!$E$2:$E$11,MATCH(C66,Vendors!$A$2:$A$11,0)),"")</f>
        <v>Active</v>
      </c>
      <c r="E66" s="2" t="str">
        <f aca="false">IF(Invoices!C66="","",Invoices!C66)</f>
        <v>PO-4600</v>
      </c>
      <c r="F66" s="2" t="str">
        <f aca="false">IF(E66="","",IFERROR(INDEX(POs!$B$2:$B$61,MATCH(E66,POs!$A$2:$A$61,0)),"NOT FOUND"))</f>
        <v>V002</v>
      </c>
      <c r="G66" s="14" t="n">
        <f aca="false">IF(E66="","",IFERROR(INDEX(POs!$E$2:$E$61,MATCH(E66,POs!$A$2:$A$61,0)),""))</f>
        <v>5350</v>
      </c>
      <c r="H66" s="15" t="n">
        <f aca="false">Invoices!D66</f>
        <v>46203</v>
      </c>
      <c r="I66" s="14" t="n">
        <f aca="false">Invoices!E66</f>
        <v>2061.14</v>
      </c>
      <c r="J66" s="14" t="n">
        <f aca="false">Invoices!F66</f>
        <v>267.95</v>
      </c>
      <c r="K66" s="14" t="n">
        <f aca="false">Invoices!G66</f>
        <v>2329.09</v>
      </c>
      <c r="L66" s="15" t="n">
        <f aca="false">IFERROR(H66+INDEX(Vendors!$H$2:$H$11,MATCH(C66,Vendors!$A$2:$A$11,0)),H66+30)</f>
        <v>46233</v>
      </c>
      <c r="M66" s="16" t="n">
        <f aca="false">IF(COUNTIF($A$2:A66,A66)&gt;1,1,0)</f>
        <v>0</v>
      </c>
      <c r="N66" s="14" t="n">
        <f aca="false">IF(E66="","",SUMIFS($I$2:$I$97,$E$2:$E$97,E66,$M$2:$M$97,0))</f>
        <v>4696.46</v>
      </c>
      <c r="O66" s="16" t="n">
        <f aca="false">IF(C66="UNKNOWN",1,0)</f>
        <v>0</v>
      </c>
      <c r="P66" s="16" t="n">
        <f aca="false">IF(E66="",1,0)</f>
        <v>0</v>
      </c>
      <c r="Q66" s="16" t="n">
        <f aca="false">IF(F66="NOT FOUND",1,0)</f>
        <v>0</v>
      </c>
      <c r="R66" s="16" t="n">
        <f aca="false">IF(AND(F66&lt;&gt;"",F66&lt;&gt;"NOT FOUND",F66&lt;&gt;C66),1,0)</f>
        <v>0</v>
      </c>
      <c r="S66" s="16" t="n">
        <f aca="false">IF(AND(M66=0,ISNUMBER(G66),N66&gt;G66),1,0)</f>
        <v>0</v>
      </c>
      <c r="T66" s="16" t="n">
        <f aca="false">IF(ABS(I66+J66-K66)&gt;0.01,1,0)</f>
        <v>0</v>
      </c>
      <c r="U66" s="16" t="n">
        <f aca="false">IFERROR(IF(ABS(J66-ROUND(I66*INDEX(Vendors!$G$2:$G$11,MATCH(C66,Vendors!$A$2:$A$11,0)),2))&gt;0.01,1,0),0)</f>
        <v>0</v>
      </c>
      <c r="V66" s="16" t="n">
        <f aca="false">IF(D66="Inactive",1,0)</f>
        <v>0</v>
      </c>
      <c r="W66" s="14" t="n">
        <f aca="false">SUMIFS(Payments!$D$2:$D$69,Payments!$F$2:$F$69,A66)</f>
        <v>2329.09</v>
      </c>
      <c r="X66" s="16" t="n">
        <f aca="false">IF(AND(M66=0,W66&gt;0,ABS(W66-K66)&gt;0.01),1,0)</f>
        <v>0</v>
      </c>
      <c r="Y66" s="16" t="n">
        <f aca="false">IF(AND(M66=0,W66=0,L66&lt;About!$B$3),1,0)</f>
        <v>0</v>
      </c>
      <c r="Z66" s="16" t="n">
        <f aca="false">M66+SUM(O66:V66)+X66+Y66</f>
        <v>0</v>
      </c>
    </row>
    <row r="67" customFormat="false" ht="15" hidden="false" customHeight="false" outlineLevel="0" collapsed="false">
      <c r="A67" s="2" t="str">
        <f aca="false">Invoices!A67</f>
        <v>INV-10129</v>
      </c>
      <c r="B67" s="2" t="str">
        <f aca="false">Invoices!B67</f>
        <v>Harbor View Postage Ltd.</v>
      </c>
      <c r="C67" s="2" t="str">
        <f aca="false">IFERROR(INDEX(Vendor_Aliases!$B$2:$B$25,MATCH(UPPER(TRIM(B67)),Vendor_Aliases!$A$2:$A$25,0)),"UNKNOWN")</f>
        <v>V005</v>
      </c>
      <c r="D67" s="2" t="str">
        <f aca="false">IFERROR(INDEX(Vendors!$E$2:$E$11,MATCH(C67,Vendors!$A$2:$A$11,0)),"")</f>
        <v>Active</v>
      </c>
      <c r="E67" s="2" t="str">
        <f aca="false">IF(Invoices!C67="","",Invoices!C67)</f>
        <v/>
      </c>
      <c r="F67" s="2" t="str">
        <f aca="false">IF(E67="","",IFERROR(INDEX(POs!$B$2:$B$61,MATCH(E67,POs!$A$2:$A$61,0)),"NOT FOUND"))</f>
        <v/>
      </c>
      <c r="G67" s="14" t="str">
        <f aca="false">IF(E67="","",IFERROR(INDEX(POs!$E$2:$E$61,MATCH(E67,POs!$A$2:$A$61,0)),""))</f>
        <v/>
      </c>
      <c r="H67" s="15" t="n">
        <f aca="false">Invoices!D67</f>
        <v>46226</v>
      </c>
      <c r="I67" s="14" t="n">
        <f aca="false">Invoices!E67</f>
        <v>10325</v>
      </c>
      <c r="J67" s="14" t="n">
        <f aca="false">Invoices!F67</f>
        <v>1342.25</v>
      </c>
      <c r="K67" s="14" t="n">
        <f aca="false">Invoices!G67</f>
        <v>11667.25</v>
      </c>
      <c r="L67" s="15" t="n">
        <f aca="false">IFERROR(H67+INDEX(Vendors!$H$2:$H$11,MATCH(C67,Vendors!$A$2:$A$11,0)),H67+30)</f>
        <v>46241</v>
      </c>
      <c r="M67" s="16" t="n">
        <f aca="false">IF(COUNTIF($A$2:A67,A67)&gt;1,1,0)</f>
        <v>0</v>
      </c>
      <c r="N67" s="14" t="str">
        <f aca="false">IF(E67="","",SUMIFS($I$2:$I$97,$E$2:$E$97,E67,$M$2:$M$97,0))</f>
        <v/>
      </c>
      <c r="O67" s="16" t="n">
        <f aca="false">IF(C67="UNKNOWN",1,0)</f>
        <v>0</v>
      </c>
      <c r="P67" s="16" t="n">
        <f aca="false">IF(E67="",1,0)</f>
        <v>1</v>
      </c>
      <c r="Q67" s="16" t="n">
        <f aca="false">IF(F67="NOT FOUND",1,0)</f>
        <v>0</v>
      </c>
      <c r="R67" s="16" t="n">
        <f aca="false">IF(AND(F67&lt;&gt;"",F67&lt;&gt;"NOT FOUND",F67&lt;&gt;C67),1,0)</f>
        <v>0</v>
      </c>
      <c r="S67" s="16" t="n">
        <f aca="false">IF(AND(M67=0,ISNUMBER(G67),N67&gt;G67),1,0)</f>
        <v>0</v>
      </c>
      <c r="T67" s="16" t="n">
        <f aca="false">IF(ABS(I67+J67-K67)&gt;0.01,1,0)</f>
        <v>0</v>
      </c>
      <c r="U67" s="16" t="n">
        <f aca="false">IFERROR(IF(ABS(J67-ROUND(I67*INDEX(Vendors!$G$2:$G$11,MATCH(C67,Vendors!$A$2:$A$11,0)),2))&gt;0.01,1,0),0)</f>
        <v>0</v>
      </c>
      <c r="V67" s="16" t="n">
        <f aca="false">IF(D67="Inactive",1,0)</f>
        <v>0</v>
      </c>
      <c r="W67" s="14" t="n">
        <f aca="false">SUMIFS(Payments!$D$2:$D$69,Payments!$F$2:$F$69,A67)</f>
        <v>11667.25</v>
      </c>
      <c r="X67" s="16" t="n">
        <f aca="false">IF(AND(M67=0,W67&gt;0,ABS(W67-K67)&gt;0.01),1,0)</f>
        <v>0</v>
      </c>
      <c r="Y67" s="16" t="n">
        <f aca="false">IF(AND(M67=0,W67=0,L67&lt;About!$B$3),1,0)</f>
        <v>0</v>
      </c>
      <c r="Z67" s="16" t="n">
        <f aca="false">M67+SUM(O67:V67)+X67+Y67</f>
        <v>1</v>
      </c>
    </row>
    <row r="68" customFormat="false" ht="15" hidden="false" customHeight="false" outlineLevel="0" collapsed="false">
      <c r="A68" s="2" t="str">
        <f aca="false">Invoices!A68</f>
        <v>INV-10112</v>
      </c>
      <c r="B68" s="2" t="str">
        <f aca="false">Invoices!B68</f>
        <v>CLEARPATH FULFILMENT</v>
      </c>
      <c r="C68" s="2" t="str">
        <f aca="false">IFERROR(INDEX(Vendor_Aliases!$B$2:$B$25,MATCH(UPPER(TRIM(B68)),Vendor_Aliases!$A$2:$A$25,0)),"UNKNOWN")</f>
        <v>V008</v>
      </c>
      <c r="D68" s="2" t="str">
        <f aca="false">IFERROR(INDEX(Vendors!$E$2:$E$11,MATCH(C68,Vendors!$A$2:$A$11,0)),"")</f>
        <v>Active</v>
      </c>
      <c r="E68" s="2" t="str">
        <f aca="false">IF(Invoices!C68="","",Invoices!C68)</f>
        <v>PO-4583</v>
      </c>
      <c r="F68" s="2" t="str">
        <f aca="false">IF(E68="","",IFERROR(INDEX(POs!$B$2:$B$61,MATCH(E68,POs!$A$2:$A$61,0)),"NOT FOUND"))</f>
        <v>V008</v>
      </c>
      <c r="G68" s="14" t="n">
        <f aca="false">IF(E68="","",IFERROR(INDEX(POs!$E$2:$E$61,MATCH(E68,POs!$A$2:$A$61,0)),""))</f>
        <v>11950</v>
      </c>
      <c r="H68" s="15" t="n">
        <f aca="false">Invoices!D68</f>
        <v>46081</v>
      </c>
      <c r="I68" s="14" t="n">
        <f aca="false">Invoices!E68</f>
        <v>11171.16</v>
      </c>
      <c r="J68" s="14" t="n">
        <f aca="false">Invoices!F68</f>
        <v>1452.25</v>
      </c>
      <c r="K68" s="14" t="n">
        <f aca="false">Invoices!G68</f>
        <v>12623.41</v>
      </c>
      <c r="L68" s="15" t="n">
        <f aca="false">IFERROR(H68+INDEX(Vendors!$H$2:$H$11,MATCH(C68,Vendors!$A$2:$A$11,0)),H68+30)</f>
        <v>46111</v>
      </c>
      <c r="M68" s="16" t="n">
        <f aca="false">IF(COUNTIF($A$2:A68,A68)&gt;1,1,0)</f>
        <v>0</v>
      </c>
      <c r="N68" s="14" t="n">
        <f aca="false">IF(E68="","",SUMIFS($I$2:$I$97,$E$2:$E$97,E68,$M$2:$M$97,0))</f>
        <v>11171.16</v>
      </c>
      <c r="O68" s="16" t="n">
        <f aca="false">IF(C68="UNKNOWN",1,0)</f>
        <v>0</v>
      </c>
      <c r="P68" s="16" t="n">
        <f aca="false">IF(E68="",1,0)</f>
        <v>0</v>
      </c>
      <c r="Q68" s="16" t="n">
        <f aca="false">IF(F68="NOT FOUND",1,0)</f>
        <v>0</v>
      </c>
      <c r="R68" s="16" t="n">
        <f aca="false">IF(AND(F68&lt;&gt;"",F68&lt;&gt;"NOT FOUND",F68&lt;&gt;C68),1,0)</f>
        <v>0</v>
      </c>
      <c r="S68" s="16" t="n">
        <f aca="false">IF(AND(M68=0,ISNUMBER(G68),N68&gt;G68),1,0)</f>
        <v>0</v>
      </c>
      <c r="T68" s="16" t="n">
        <f aca="false">IF(ABS(I68+J68-K68)&gt;0.01,1,0)</f>
        <v>0</v>
      </c>
      <c r="U68" s="16" t="n">
        <f aca="false">IFERROR(IF(ABS(J68-ROUND(I68*INDEX(Vendors!$G$2:$G$11,MATCH(C68,Vendors!$A$2:$A$11,0)),2))&gt;0.01,1,0),0)</f>
        <v>0</v>
      </c>
      <c r="V68" s="16" t="n">
        <f aca="false">IF(D68="Inactive",1,0)</f>
        <v>0</v>
      </c>
      <c r="W68" s="14" t="n">
        <f aca="false">SUMIFS(Payments!$D$2:$D$69,Payments!$F$2:$F$69,A68)</f>
        <v>12623.41</v>
      </c>
      <c r="X68" s="16" t="n">
        <f aca="false">IF(AND(M68=0,W68&gt;0,ABS(W68-K68)&gt;0.01),1,0)</f>
        <v>0</v>
      </c>
      <c r="Y68" s="16" t="n">
        <f aca="false">IF(AND(M68=0,W68=0,L68&lt;About!$B$3),1,0)</f>
        <v>0</v>
      </c>
      <c r="Z68" s="16" t="n">
        <f aca="false">M68+SUM(O68:V68)+X68+Y68</f>
        <v>0</v>
      </c>
    </row>
    <row r="69" customFormat="false" ht="15" hidden="false" customHeight="false" outlineLevel="0" collapsed="false">
      <c r="A69" s="2" t="str">
        <f aca="false">Invoices!A69</f>
        <v>INV-10162</v>
      </c>
      <c r="B69" s="2" t="str">
        <f aca="false">Invoices!B69</f>
        <v>Lakeshore Envelope Company</v>
      </c>
      <c r="C69" s="2" t="str">
        <f aca="false">IFERROR(INDEX(Vendor_Aliases!$B$2:$B$25,MATCH(UPPER(TRIM(B69)),Vendor_Aliases!$A$2:$A$25,0)),"UNKNOWN")</f>
        <v>V003</v>
      </c>
      <c r="D69" s="2" t="str">
        <f aca="false">IFERROR(INDEX(Vendors!$E$2:$E$11,MATCH(C69,Vendors!$A$2:$A$11,0)),"")</f>
        <v>Active</v>
      </c>
      <c r="E69" s="2" t="str">
        <f aca="false">IF(Invoices!C69="","",Invoices!C69)</f>
        <v>PO-4617</v>
      </c>
      <c r="F69" s="2" t="str">
        <f aca="false">IF(E69="","",IFERROR(INDEX(POs!$B$2:$B$61,MATCH(E69,POs!$A$2:$A$61,0)),"NOT FOUND"))</f>
        <v>V003</v>
      </c>
      <c r="G69" s="14" t="n">
        <f aca="false">IF(E69="","",IFERROR(INDEX(POs!$E$2:$E$61,MATCH(E69,POs!$A$2:$A$61,0)),""))</f>
        <v>13000</v>
      </c>
      <c r="H69" s="15" t="n">
        <f aca="false">Invoices!D69</f>
        <v>46264</v>
      </c>
      <c r="I69" s="14" t="n">
        <f aca="false">Invoices!E69</f>
        <v>4923.62</v>
      </c>
      <c r="J69" s="14" t="n">
        <f aca="false">Invoices!F69</f>
        <v>640.07</v>
      </c>
      <c r="K69" s="14" t="n">
        <f aca="false">Invoices!G69</f>
        <v>5563.69</v>
      </c>
      <c r="L69" s="15" t="n">
        <f aca="false">IFERROR(H69+INDEX(Vendors!$H$2:$H$11,MATCH(C69,Vendors!$A$2:$A$11,0)),H69+30)</f>
        <v>46309</v>
      </c>
      <c r="M69" s="16" t="n">
        <f aca="false">IF(COUNTIF($A$2:A69,A69)&gt;1,1,0)</f>
        <v>0</v>
      </c>
      <c r="N69" s="14" t="n">
        <f aca="false">IF(E69="","",SUMIFS($I$2:$I$97,$E$2:$E$97,E69,$M$2:$M$97,0))</f>
        <v>10533.3</v>
      </c>
      <c r="O69" s="16" t="n">
        <f aca="false">IF(C69="UNKNOWN",1,0)</f>
        <v>0</v>
      </c>
      <c r="P69" s="16" t="n">
        <f aca="false">IF(E69="",1,0)</f>
        <v>0</v>
      </c>
      <c r="Q69" s="16" t="n">
        <f aca="false">IF(F69="NOT FOUND",1,0)</f>
        <v>0</v>
      </c>
      <c r="R69" s="16" t="n">
        <f aca="false">IF(AND(F69&lt;&gt;"",F69&lt;&gt;"NOT FOUND",F69&lt;&gt;C69),1,0)</f>
        <v>0</v>
      </c>
      <c r="S69" s="16" t="n">
        <f aca="false">IF(AND(M69=0,ISNUMBER(G69),N69&gt;G69),1,0)</f>
        <v>0</v>
      </c>
      <c r="T69" s="16" t="n">
        <f aca="false">IF(ABS(I69+J69-K69)&gt;0.01,1,0)</f>
        <v>0</v>
      </c>
      <c r="U69" s="16" t="n">
        <f aca="false">IFERROR(IF(ABS(J69-ROUND(I69*INDEX(Vendors!$G$2:$G$11,MATCH(C69,Vendors!$A$2:$A$11,0)),2))&gt;0.01,1,0),0)</f>
        <v>0</v>
      </c>
      <c r="V69" s="16" t="n">
        <f aca="false">IF(D69="Inactive",1,0)</f>
        <v>0</v>
      </c>
      <c r="W69" s="14" t="n">
        <f aca="false">SUMIFS(Payments!$D$2:$D$69,Payments!$F$2:$F$69,A69)</f>
        <v>0</v>
      </c>
      <c r="X69" s="16" t="n">
        <f aca="false">IF(AND(M69=0,W69&gt;0,ABS(W69-K69)&gt;0.01),1,0)</f>
        <v>0</v>
      </c>
      <c r="Y69" s="16" t="n">
        <f aca="false">IF(AND(M69=0,W69=0,L69&lt;About!$B$3),1,0)</f>
        <v>0</v>
      </c>
      <c r="Z69" s="16" t="n">
        <f aca="false">M69+SUM(O69:V69)+X69+Y69</f>
        <v>0</v>
      </c>
    </row>
    <row r="70" customFormat="false" ht="15" hidden="false" customHeight="false" outlineLevel="0" collapsed="false">
      <c r="A70" s="2" t="str">
        <f aca="false">Invoices!A70</f>
        <v>INV-10050</v>
      </c>
      <c r="B70" s="2" t="str">
        <f aca="false">Invoices!B70</f>
        <v>Maple Mailing Solutions</v>
      </c>
      <c r="C70" s="2" t="str">
        <f aca="false">IFERROR(INDEX(Vendor_Aliases!$B$2:$B$25,MATCH(UPPER(TRIM(B70)),Vendor_Aliases!$A$2:$A$25,0)),"UNKNOWN")</f>
        <v>V002</v>
      </c>
      <c r="D70" s="2" t="str">
        <f aca="false">IFERROR(INDEX(Vendors!$E$2:$E$11,MATCH(C70,Vendors!$A$2:$A$11,0)),"")</f>
        <v>Active</v>
      </c>
      <c r="E70" s="2" t="str">
        <f aca="false">IF(Invoices!C70="","",Invoices!C70)</f>
        <v>PO-4536</v>
      </c>
      <c r="F70" s="2" t="str">
        <f aca="false">IF(E70="","",IFERROR(INDEX(POs!$B$2:$B$61,MATCH(E70,POs!$A$2:$A$61,0)),"NOT FOUND"))</f>
        <v>V002</v>
      </c>
      <c r="G70" s="14" t="n">
        <f aca="false">IF(E70="","",IFERROR(INDEX(POs!$E$2:$E$61,MATCH(E70,POs!$A$2:$A$61,0)),""))</f>
        <v>18050</v>
      </c>
      <c r="H70" s="15" t="n">
        <f aca="false">Invoices!D70</f>
        <v>46284</v>
      </c>
      <c r="I70" s="14" t="n">
        <f aca="false">Invoices!E70</f>
        <v>16890.67</v>
      </c>
      <c r="J70" s="14" t="n">
        <f aca="false">Invoices!F70</f>
        <v>2195.79</v>
      </c>
      <c r="K70" s="14" t="n">
        <f aca="false">Invoices!G70</f>
        <v>19086.46</v>
      </c>
      <c r="L70" s="15" t="n">
        <f aca="false">IFERROR(H70+INDEX(Vendors!$H$2:$H$11,MATCH(C70,Vendors!$A$2:$A$11,0)),H70+30)</f>
        <v>46314</v>
      </c>
      <c r="M70" s="16" t="n">
        <f aca="false">IF(COUNTIF($A$2:A70,A70)&gt;1,1,0)</f>
        <v>1</v>
      </c>
      <c r="N70" s="14" t="n">
        <f aca="false">IF(E70="","",SUMIFS($I$2:$I$97,$E$2:$E$97,E70,$M$2:$M$97,0))</f>
        <v>16890.67</v>
      </c>
      <c r="O70" s="16" t="n">
        <f aca="false">IF(C70="UNKNOWN",1,0)</f>
        <v>0</v>
      </c>
      <c r="P70" s="16" t="n">
        <f aca="false">IF(E70="",1,0)</f>
        <v>0</v>
      </c>
      <c r="Q70" s="16" t="n">
        <f aca="false">IF(F70="NOT FOUND",1,0)</f>
        <v>0</v>
      </c>
      <c r="R70" s="16" t="n">
        <f aca="false">IF(AND(F70&lt;&gt;"",F70&lt;&gt;"NOT FOUND",F70&lt;&gt;C70),1,0)</f>
        <v>0</v>
      </c>
      <c r="S70" s="16" t="n">
        <f aca="false">IF(AND(M70=0,ISNUMBER(G70),N70&gt;G70),1,0)</f>
        <v>0</v>
      </c>
      <c r="T70" s="16" t="n">
        <f aca="false">IF(ABS(I70+J70-K70)&gt;0.01,1,0)</f>
        <v>0</v>
      </c>
      <c r="U70" s="16" t="n">
        <f aca="false">IFERROR(IF(ABS(J70-ROUND(I70*INDEX(Vendors!$G$2:$G$11,MATCH(C70,Vendors!$A$2:$A$11,0)),2))&gt;0.01,1,0),0)</f>
        <v>0</v>
      </c>
      <c r="V70" s="16" t="n">
        <f aca="false">IF(D70="Inactive",1,0)</f>
        <v>0</v>
      </c>
      <c r="W70" s="14" t="n">
        <f aca="false">SUMIFS(Payments!$D$2:$D$69,Payments!$F$2:$F$69,A70)</f>
        <v>0</v>
      </c>
      <c r="X70" s="16" t="n">
        <f aca="false">IF(AND(M70=0,W70&gt;0,ABS(W70-K70)&gt;0.01),1,0)</f>
        <v>0</v>
      </c>
      <c r="Y70" s="16" t="n">
        <f aca="false">IF(AND(M70=0,W70=0,L70&lt;About!$B$3),1,0)</f>
        <v>0</v>
      </c>
      <c r="Z70" s="16" t="n">
        <f aca="false">M70+SUM(O70:V70)+X70+Y70</f>
        <v>1</v>
      </c>
    </row>
    <row r="71" customFormat="false" ht="15" hidden="false" customHeight="false" outlineLevel="0" collapsed="false">
      <c r="A71" s="2" t="str">
        <f aca="false">Invoices!A71</f>
        <v>INV-10118</v>
      </c>
      <c r="B71" s="2" t="str">
        <f aca="false">Invoices!B71</f>
        <v>NORTHBRIDGE PRINT SERVICES</v>
      </c>
      <c r="C71" s="2" t="str">
        <f aca="false">IFERROR(INDEX(Vendor_Aliases!$B$2:$B$25,MATCH(UPPER(TRIM(B71)),Vendor_Aliases!$A$2:$A$25,0)),"UNKNOWN")</f>
        <v>V001</v>
      </c>
      <c r="D71" s="2" t="str">
        <f aca="false">IFERROR(INDEX(Vendors!$E$2:$E$11,MATCH(C71,Vendors!$A$2:$A$11,0)),"")</f>
        <v>Active</v>
      </c>
      <c r="E71" s="2" t="str">
        <f aca="false">IF(Invoices!C71="","",Invoices!C71)</f>
        <v>PO-4592</v>
      </c>
      <c r="F71" s="2" t="str">
        <f aca="false">IF(E71="","",IFERROR(INDEX(POs!$B$2:$B$61,MATCH(E71,POs!$A$2:$A$61,0)),"NOT FOUND"))</f>
        <v>V001</v>
      </c>
      <c r="G71" s="14" t="n">
        <f aca="false">IF(E71="","",IFERROR(INDEX(POs!$E$2:$E$61,MATCH(E71,POs!$A$2:$A$61,0)),""))</f>
        <v>3450</v>
      </c>
      <c r="H71" s="15" t="n">
        <f aca="false">Invoices!D71</f>
        <v>46175</v>
      </c>
      <c r="I71" s="14" t="n">
        <f aca="false">Invoices!E71</f>
        <v>1514.15</v>
      </c>
      <c r="J71" s="14" t="n">
        <f aca="false">Invoices!F71</f>
        <v>196.84</v>
      </c>
      <c r="K71" s="14" t="n">
        <f aca="false">Invoices!G71</f>
        <v>1710.99</v>
      </c>
      <c r="L71" s="15" t="n">
        <f aca="false">IFERROR(H71+INDEX(Vendors!$H$2:$H$11,MATCH(C71,Vendors!$A$2:$A$11,0)),H71+30)</f>
        <v>46205</v>
      </c>
      <c r="M71" s="16" t="n">
        <f aca="false">IF(COUNTIF($A$2:A71,A71)&gt;1,1,0)</f>
        <v>0</v>
      </c>
      <c r="N71" s="14" t="n">
        <f aca="false">IF(E71="","",SUMIFS($I$2:$I$97,$E$2:$E$97,E71,$M$2:$M$97,0))</f>
        <v>2821.85</v>
      </c>
      <c r="O71" s="16" t="n">
        <f aca="false">IF(C71="UNKNOWN",1,0)</f>
        <v>0</v>
      </c>
      <c r="P71" s="16" t="n">
        <f aca="false">IF(E71="",1,0)</f>
        <v>0</v>
      </c>
      <c r="Q71" s="16" t="n">
        <f aca="false">IF(F71="NOT FOUND",1,0)</f>
        <v>0</v>
      </c>
      <c r="R71" s="16" t="n">
        <f aca="false">IF(AND(F71&lt;&gt;"",F71&lt;&gt;"NOT FOUND",F71&lt;&gt;C71),1,0)</f>
        <v>0</v>
      </c>
      <c r="S71" s="16" t="n">
        <f aca="false">IF(AND(M71=0,ISNUMBER(G71),N71&gt;G71),1,0)</f>
        <v>0</v>
      </c>
      <c r="T71" s="16" t="n">
        <f aca="false">IF(ABS(I71+J71-K71)&gt;0.01,1,0)</f>
        <v>0</v>
      </c>
      <c r="U71" s="16" t="n">
        <f aca="false">IFERROR(IF(ABS(J71-ROUND(I71*INDEX(Vendors!$G$2:$G$11,MATCH(C71,Vendors!$A$2:$A$11,0)),2))&gt;0.01,1,0),0)</f>
        <v>0</v>
      </c>
      <c r="V71" s="16" t="n">
        <f aca="false">IF(D71="Inactive",1,0)</f>
        <v>0</v>
      </c>
      <c r="W71" s="14" t="n">
        <f aca="false">SUMIFS(Payments!$D$2:$D$69,Payments!$F$2:$F$69,A71)</f>
        <v>1710.99</v>
      </c>
      <c r="X71" s="16" t="n">
        <f aca="false">IF(AND(M71=0,W71&gt;0,ABS(W71-K71)&gt;0.01),1,0)</f>
        <v>0</v>
      </c>
      <c r="Y71" s="16" t="n">
        <f aca="false">IF(AND(M71=0,W71=0,L71&lt;About!$B$3),1,0)</f>
        <v>0</v>
      </c>
      <c r="Z71" s="16" t="n">
        <f aca="false">M71+SUM(O71:V71)+X71+Y71</f>
        <v>0</v>
      </c>
    </row>
    <row r="72" customFormat="false" ht="15" hidden="false" customHeight="false" outlineLevel="0" collapsed="false">
      <c r="A72" s="2" t="str">
        <f aca="false">Invoices!A72</f>
        <v>INV-10147</v>
      </c>
      <c r="B72" s="2" t="str">
        <f aca="false">Invoices!B72</f>
        <v>Harbourview Postage</v>
      </c>
      <c r="C72" s="2" t="str">
        <f aca="false">IFERROR(INDEX(Vendor_Aliases!$B$2:$B$25,MATCH(UPPER(TRIM(B72)),Vendor_Aliases!$A$2:$A$25,0)),"UNKNOWN")</f>
        <v>V005</v>
      </c>
      <c r="D72" s="2" t="str">
        <f aca="false">IFERROR(INDEX(Vendors!$E$2:$E$11,MATCH(C72,Vendors!$A$2:$A$11,0)),"")</f>
        <v>Active</v>
      </c>
      <c r="E72" s="2" t="str">
        <f aca="false">IF(Invoices!C72="","",Invoices!C72)</f>
        <v>PO-4611</v>
      </c>
      <c r="F72" s="2" t="str">
        <f aca="false">IF(E72="","",IFERROR(INDEX(POs!$B$2:$B$61,MATCH(E72,POs!$A$2:$A$61,0)),"NOT FOUND"))</f>
        <v>V005</v>
      </c>
      <c r="G72" s="14" t="n">
        <f aca="false">IF(E72="","",IFERROR(INDEX(POs!$E$2:$E$61,MATCH(E72,POs!$A$2:$A$61,0)),""))</f>
        <v>18200</v>
      </c>
      <c r="H72" s="15" t="n">
        <f aca="false">Invoices!D72</f>
        <v>46107</v>
      </c>
      <c r="I72" s="14" t="n">
        <f aca="false">Invoices!E72</f>
        <v>8819.11</v>
      </c>
      <c r="J72" s="14" t="n">
        <f aca="false">Invoices!F72</f>
        <v>1146.48</v>
      </c>
      <c r="K72" s="14" t="n">
        <f aca="false">Invoices!G72</f>
        <v>9965.59</v>
      </c>
      <c r="L72" s="15" t="n">
        <f aca="false">IFERROR(H72+INDEX(Vendors!$H$2:$H$11,MATCH(C72,Vendors!$A$2:$A$11,0)),H72+30)</f>
        <v>46122</v>
      </c>
      <c r="M72" s="16" t="n">
        <f aca="false">IF(COUNTIF($A$2:A72,A72)&gt;1,1,0)</f>
        <v>0</v>
      </c>
      <c r="N72" s="14" t="n">
        <f aca="false">IF(E72="","",SUMIFS($I$2:$I$97,$E$2:$E$97,E72,$M$2:$M$97,0))</f>
        <v>15223.3</v>
      </c>
      <c r="O72" s="16" t="n">
        <f aca="false">IF(C72="UNKNOWN",1,0)</f>
        <v>0</v>
      </c>
      <c r="P72" s="16" t="n">
        <f aca="false">IF(E72="",1,0)</f>
        <v>0</v>
      </c>
      <c r="Q72" s="16" t="n">
        <f aca="false">IF(F72="NOT FOUND",1,0)</f>
        <v>0</v>
      </c>
      <c r="R72" s="16" t="n">
        <f aca="false">IF(AND(F72&lt;&gt;"",F72&lt;&gt;"NOT FOUND",F72&lt;&gt;C72),1,0)</f>
        <v>0</v>
      </c>
      <c r="S72" s="16" t="n">
        <f aca="false">IF(AND(M72=0,ISNUMBER(G72),N72&gt;G72),1,0)</f>
        <v>0</v>
      </c>
      <c r="T72" s="16" t="n">
        <f aca="false">IF(ABS(I72+J72-K72)&gt;0.01,1,0)</f>
        <v>0</v>
      </c>
      <c r="U72" s="16" t="n">
        <f aca="false">IFERROR(IF(ABS(J72-ROUND(I72*INDEX(Vendors!$G$2:$G$11,MATCH(C72,Vendors!$A$2:$A$11,0)),2))&gt;0.01,1,0),0)</f>
        <v>0</v>
      </c>
      <c r="V72" s="16" t="n">
        <f aca="false">IF(D72="Inactive",1,0)</f>
        <v>0</v>
      </c>
      <c r="W72" s="14" t="n">
        <f aca="false">SUMIFS(Payments!$D$2:$D$69,Payments!$F$2:$F$69,A72)</f>
        <v>9965.59</v>
      </c>
      <c r="X72" s="16" t="n">
        <f aca="false">IF(AND(M72=0,W72&gt;0,ABS(W72-K72)&gt;0.01),1,0)</f>
        <v>0</v>
      </c>
      <c r="Y72" s="16" t="n">
        <f aca="false">IF(AND(M72=0,W72=0,L72&lt;About!$B$3),1,0)</f>
        <v>0</v>
      </c>
      <c r="Z72" s="16" t="n">
        <f aca="false">M72+SUM(O72:V72)+X72+Y72</f>
        <v>0</v>
      </c>
    </row>
    <row r="73" customFormat="false" ht="15" hidden="false" customHeight="false" outlineLevel="0" collapsed="false">
      <c r="A73" s="2" t="str">
        <f aca="false">Invoices!A73</f>
        <v>INV-10134</v>
      </c>
      <c r="B73" s="2" t="str">
        <f aca="false">Invoices!B73</f>
        <v>MAPLE MAILING SOLUTIONS </v>
      </c>
      <c r="C73" s="2" t="str">
        <f aca="false">IFERROR(INDEX(Vendor_Aliases!$B$2:$B$25,MATCH(UPPER(TRIM(B73)),Vendor_Aliases!$A$2:$A$25,0)),"UNKNOWN")</f>
        <v>V002</v>
      </c>
      <c r="D73" s="2" t="str">
        <f aca="false">IFERROR(INDEX(Vendors!$E$2:$E$11,MATCH(C73,Vendors!$A$2:$A$11,0)),"")</f>
        <v>Active</v>
      </c>
      <c r="E73" s="2" t="str">
        <f aca="false">IF(Invoices!C73="","",Invoices!C73)</f>
        <v>PO-4600</v>
      </c>
      <c r="F73" s="2" t="str">
        <f aca="false">IF(E73="","",IFERROR(INDEX(POs!$B$2:$B$61,MATCH(E73,POs!$A$2:$A$61,0)),"NOT FOUND"))</f>
        <v>V002</v>
      </c>
      <c r="G73" s="14" t="n">
        <f aca="false">IF(E73="","",IFERROR(INDEX(POs!$E$2:$E$61,MATCH(E73,POs!$A$2:$A$61,0)),""))</f>
        <v>5350</v>
      </c>
      <c r="H73" s="15" t="n">
        <f aca="false">Invoices!D73</f>
        <v>46186</v>
      </c>
      <c r="I73" s="14" t="n">
        <f aca="false">Invoices!E73</f>
        <v>2635.32</v>
      </c>
      <c r="J73" s="14" t="n">
        <f aca="false">Invoices!F73</f>
        <v>342.59</v>
      </c>
      <c r="K73" s="14" t="n">
        <f aca="false">Invoices!G73</f>
        <v>2977.91</v>
      </c>
      <c r="L73" s="15" t="n">
        <f aca="false">IFERROR(H73+INDEX(Vendors!$H$2:$H$11,MATCH(C73,Vendors!$A$2:$A$11,0)),H73+30)</f>
        <v>46216</v>
      </c>
      <c r="M73" s="16" t="n">
        <f aca="false">IF(COUNTIF($A$2:A73,A73)&gt;1,1,0)</f>
        <v>0</v>
      </c>
      <c r="N73" s="14" t="n">
        <f aca="false">IF(E73="","",SUMIFS($I$2:$I$97,$E$2:$E$97,E73,$M$2:$M$97,0))</f>
        <v>4696.46</v>
      </c>
      <c r="O73" s="16" t="n">
        <f aca="false">IF(C73="UNKNOWN",1,0)</f>
        <v>0</v>
      </c>
      <c r="P73" s="16" t="n">
        <f aca="false">IF(E73="",1,0)</f>
        <v>0</v>
      </c>
      <c r="Q73" s="16" t="n">
        <f aca="false">IF(F73="NOT FOUND",1,0)</f>
        <v>0</v>
      </c>
      <c r="R73" s="16" t="n">
        <f aca="false">IF(AND(F73&lt;&gt;"",F73&lt;&gt;"NOT FOUND",F73&lt;&gt;C73),1,0)</f>
        <v>0</v>
      </c>
      <c r="S73" s="16" t="n">
        <f aca="false">IF(AND(M73=0,ISNUMBER(G73),N73&gt;G73),1,0)</f>
        <v>0</v>
      </c>
      <c r="T73" s="16" t="n">
        <f aca="false">IF(ABS(I73+J73-K73)&gt;0.01,1,0)</f>
        <v>0</v>
      </c>
      <c r="U73" s="16" t="n">
        <f aca="false">IFERROR(IF(ABS(J73-ROUND(I73*INDEX(Vendors!$G$2:$G$11,MATCH(C73,Vendors!$A$2:$A$11,0)),2))&gt;0.01,1,0),0)</f>
        <v>0</v>
      </c>
      <c r="V73" s="16" t="n">
        <f aca="false">IF(D73="Inactive",1,0)</f>
        <v>0</v>
      </c>
      <c r="W73" s="14" t="n">
        <f aca="false">SUMIFS(Payments!$D$2:$D$69,Payments!$F$2:$F$69,A73)</f>
        <v>2977.91</v>
      </c>
      <c r="X73" s="16" t="n">
        <f aca="false">IF(AND(M73=0,W73&gt;0,ABS(W73-K73)&gt;0.01),1,0)</f>
        <v>0</v>
      </c>
      <c r="Y73" s="16" t="n">
        <f aca="false">IF(AND(M73=0,W73=0,L73&lt;About!$B$3),1,0)</f>
        <v>0</v>
      </c>
      <c r="Z73" s="16" t="n">
        <f aca="false">M73+SUM(O73:V73)+X73+Y73</f>
        <v>0</v>
      </c>
    </row>
    <row r="74" customFormat="false" ht="15" hidden="false" customHeight="false" outlineLevel="0" collapsed="false">
      <c r="A74" s="2" t="str">
        <f aca="false">Invoices!A74</f>
        <v>INV-10170</v>
      </c>
      <c r="B74" s="2" t="str">
        <f aca="false">Invoices!B74</f>
        <v>Maple Mailing Solutions</v>
      </c>
      <c r="C74" s="2" t="str">
        <f aca="false">IFERROR(INDEX(Vendor_Aliases!$B$2:$B$25,MATCH(UPPER(TRIM(B74)),Vendor_Aliases!$A$2:$A$25,0)),"UNKNOWN")</f>
        <v>V002</v>
      </c>
      <c r="D74" s="2" t="str">
        <f aca="false">IFERROR(INDEX(Vendors!$E$2:$E$11,MATCH(C74,Vendors!$A$2:$A$11,0)),"")</f>
        <v>Active</v>
      </c>
      <c r="E74" s="2" t="str">
        <f aca="false">IF(Invoices!C74="","",Invoices!C74)</f>
        <v>PO-4623</v>
      </c>
      <c r="F74" s="2" t="str">
        <f aca="false">IF(E74="","",IFERROR(INDEX(POs!$B$2:$B$61,MATCH(E74,POs!$A$2:$A$61,0)),"NOT FOUND"))</f>
        <v>V002</v>
      </c>
      <c r="G74" s="14" t="n">
        <f aca="false">IF(E74="","",IFERROR(INDEX(POs!$E$2:$E$61,MATCH(E74,POs!$A$2:$A$61,0)),""))</f>
        <v>17850</v>
      </c>
      <c r="H74" s="15" t="n">
        <f aca="false">Invoices!D74</f>
        <v>46250</v>
      </c>
      <c r="I74" s="14" t="n">
        <f aca="false">Invoices!E74</f>
        <v>6522.56</v>
      </c>
      <c r="J74" s="14" t="n">
        <f aca="false">Invoices!F74</f>
        <v>847.93</v>
      </c>
      <c r="K74" s="14" t="n">
        <f aca="false">Invoices!G74</f>
        <v>7330.49</v>
      </c>
      <c r="L74" s="15" t="n">
        <f aca="false">IFERROR(H74+INDEX(Vendors!$H$2:$H$11,MATCH(C74,Vendors!$A$2:$A$11,0)),H74+30)</f>
        <v>46280</v>
      </c>
      <c r="M74" s="16" t="n">
        <f aca="false">IF(COUNTIF($A$2:A74,A74)&gt;1,1,0)</f>
        <v>1</v>
      </c>
      <c r="N74" s="14" t="n">
        <f aca="false">IF(E74="","",SUMIFS($I$2:$I$97,$E$2:$E$97,E74,$M$2:$M$97,0))</f>
        <v>14796.52</v>
      </c>
      <c r="O74" s="16" t="n">
        <f aca="false">IF(C74="UNKNOWN",1,0)</f>
        <v>0</v>
      </c>
      <c r="P74" s="16" t="n">
        <f aca="false">IF(E74="",1,0)</f>
        <v>0</v>
      </c>
      <c r="Q74" s="16" t="n">
        <f aca="false">IF(F74="NOT FOUND",1,0)</f>
        <v>0</v>
      </c>
      <c r="R74" s="16" t="n">
        <f aca="false">IF(AND(F74&lt;&gt;"",F74&lt;&gt;"NOT FOUND",F74&lt;&gt;C74),1,0)</f>
        <v>0</v>
      </c>
      <c r="S74" s="16" t="n">
        <f aca="false">IF(AND(M74=0,ISNUMBER(G74),N74&gt;G74),1,0)</f>
        <v>0</v>
      </c>
      <c r="T74" s="16" t="n">
        <f aca="false">IF(ABS(I74+J74-K74)&gt;0.01,1,0)</f>
        <v>1</v>
      </c>
      <c r="U74" s="16" t="n">
        <f aca="false">IFERROR(IF(ABS(J74-ROUND(I74*INDEX(Vendors!$G$2:$G$11,MATCH(C74,Vendors!$A$2:$A$11,0)),2))&gt;0.01,1,0),0)</f>
        <v>0</v>
      </c>
      <c r="V74" s="16" t="n">
        <f aca="false">IF(D74="Inactive",1,0)</f>
        <v>0</v>
      </c>
      <c r="W74" s="14" t="n">
        <f aca="false">SUMIFS(Payments!$D$2:$D$69,Payments!$F$2:$F$69,A74)</f>
        <v>7330.49</v>
      </c>
      <c r="X74" s="16" t="n">
        <f aca="false">IF(AND(M74=0,W74&gt;0,ABS(W74-K74)&gt;0.01),1,0)</f>
        <v>0</v>
      </c>
      <c r="Y74" s="16" t="n">
        <f aca="false">IF(AND(M74=0,W74=0,L74&lt;About!$B$3),1,0)</f>
        <v>0</v>
      </c>
      <c r="Z74" s="16" t="n">
        <f aca="false">M74+SUM(O74:V74)+X74+Y74</f>
        <v>2</v>
      </c>
    </row>
    <row r="75" customFormat="false" ht="15" hidden="false" customHeight="false" outlineLevel="0" collapsed="false">
      <c r="A75" s="2" t="str">
        <f aca="false">Invoices!A75</f>
        <v>INV-10127</v>
      </c>
      <c r="B75" s="2" t="str">
        <f aca="false">Invoices!B75</f>
        <v>Summit Digital Print</v>
      </c>
      <c r="C75" s="2" t="str">
        <f aca="false">IFERROR(INDEX(Vendor_Aliases!$B$2:$B$25,MATCH(UPPER(TRIM(B75)),Vendor_Aliases!$A$2:$A$25,0)),"UNKNOWN")</f>
        <v>V004</v>
      </c>
      <c r="D75" s="2" t="str">
        <f aca="false">IFERROR(INDEX(Vendors!$E$2:$E$11,MATCH(C75,Vendors!$A$2:$A$11,0)),"")</f>
        <v>Active</v>
      </c>
      <c r="E75" s="2" t="str">
        <f aca="false">IF(Invoices!C75="","",Invoices!C75)</f>
        <v>PO-4594</v>
      </c>
      <c r="F75" s="2" t="str">
        <f aca="false">IF(E75="","",IFERROR(INDEX(POs!$B$2:$B$61,MATCH(E75,POs!$A$2:$A$61,0)),"NOT FOUND"))</f>
        <v>V004</v>
      </c>
      <c r="G75" s="14" t="n">
        <f aca="false">IF(E75="","",IFERROR(INDEX(POs!$E$2:$E$61,MATCH(E75,POs!$A$2:$A$61,0)),""))</f>
        <v>18800</v>
      </c>
      <c r="H75" s="15" t="n">
        <f aca="false">Invoices!D75</f>
        <v>46190</v>
      </c>
      <c r="I75" s="14" t="n">
        <f aca="false">Invoices!E75</f>
        <v>7073.73</v>
      </c>
      <c r="J75" s="14" t="n">
        <f aca="false">Invoices!F75</f>
        <v>1059.29</v>
      </c>
      <c r="K75" s="14" t="n">
        <f aca="false">Invoices!G75</f>
        <v>8133.02</v>
      </c>
      <c r="L75" s="15" t="n">
        <f aca="false">IFERROR(H75+INDEX(Vendors!$H$2:$H$11,MATCH(C75,Vendors!$A$2:$A$11,0)),H75+30)</f>
        <v>46220</v>
      </c>
      <c r="M75" s="16" t="n">
        <f aca="false">IF(COUNTIF($A$2:A75,A75)&gt;1,1,0)</f>
        <v>0</v>
      </c>
      <c r="N75" s="14" t="n">
        <f aca="false">IF(E75="","",SUMIFS($I$2:$I$97,$E$2:$E$97,E75,$M$2:$M$97,0))</f>
        <v>15934.29</v>
      </c>
      <c r="O75" s="16" t="n">
        <f aca="false">IF(C75="UNKNOWN",1,0)</f>
        <v>0</v>
      </c>
      <c r="P75" s="16" t="n">
        <f aca="false">IF(E75="",1,0)</f>
        <v>0</v>
      </c>
      <c r="Q75" s="16" t="n">
        <f aca="false">IF(F75="NOT FOUND",1,0)</f>
        <v>0</v>
      </c>
      <c r="R75" s="16" t="n">
        <f aca="false">IF(AND(F75&lt;&gt;"",F75&lt;&gt;"NOT FOUND",F75&lt;&gt;C75),1,0)</f>
        <v>0</v>
      </c>
      <c r="S75" s="16" t="n">
        <f aca="false">IF(AND(M75=0,ISNUMBER(G75),N75&gt;G75),1,0)</f>
        <v>0</v>
      </c>
      <c r="T75" s="16" t="n">
        <f aca="false">IF(ABS(I75+J75-K75)&gt;0.01,1,0)</f>
        <v>0</v>
      </c>
      <c r="U75" s="16" t="n">
        <f aca="false">IFERROR(IF(ABS(J75-ROUND(I75*INDEX(Vendors!$G$2:$G$11,MATCH(C75,Vendors!$A$2:$A$11,0)),2))&gt;0.01,1,0),0)</f>
        <v>0</v>
      </c>
      <c r="V75" s="16" t="n">
        <f aca="false">IF(D75="Inactive",1,0)</f>
        <v>0</v>
      </c>
      <c r="W75" s="14" t="n">
        <f aca="false">SUMIFS(Payments!$D$2:$D$69,Payments!$F$2:$F$69,A75)</f>
        <v>8133.02</v>
      </c>
      <c r="X75" s="16" t="n">
        <f aca="false">IF(AND(M75=0,W75&gt;0,ABS(W75-K75)&gt;0.01),1,0)</f>
        <v>0</v>
      </c>
      <c r="Y75" s="16" t="n">
        <f aca="false">IF(AND(M75=0,W75=0,L75&lt;About!$B$3),1,0)</f>
        <v>0</v>
      </c>
      <c r="Z75" s="16" t="n">
        <f aca="false">M75+SUM(O75:V75)+X75+Y75</f>
        <v>0</v>
      </c>
    </row>
    <row r="76" customFormat="false" ht="15" hidden="false" customHeight="false" outlineLevel="0" collapsed="false">
      <c r="A76" s="2" t="str">
        <f aca="false">Invoices!A76</f>
        <v>INV-10038</v>
      </c>
      <c r="B76" s="2" t="str">
        <f aca="false">Invoices!B76</f>
        <v>Cedarline Paper Supply</v>
      </c>
      <c r="C76" s="2" t="str">
        <f aca="false">IFERROR(INDEX(Vendor_Aliases!$B$2:$B$25,MATCH(UPPER(TRIM(B76)),Vendor_Aliases!$A$2:$A$25,0)),"UNKNOWN")</f>
        <v>V006</v>
      </c>
      <c r="D76" s="2" t="str">
        <f aca="false">IFERROR(INDEX(Vendors!$E$2:$E$11,MATCH(C76,Vendors!$A$2:$A$11,0)),"")</f>
        <v>Active</v>
      </c>
      <c r="E76" s="2" t="str">
        <f aca="false">IF(Invoices!C76="","",Invoices!C76)</f>
        <v>PO-4525</v>
      </c>
      <c r="F76" s="2" t="str">
        <f aca="false">IF(E76="","",IFERROR(INDEX(POs!$B$2:$B$61,MATCH(E76,POs!$A$2:$A$61,0)),"NOT FOUND"))</f>
        <v>V006</v>
      </c>
      <c r="G76" s="14" t="n">
        <f aca="false">IF(E76="","",IFERROR(INDEX(POs!$E$2:$E$61,MATCH(E76,POs!$A$2:$A$61,0)),""))</f>
        <v>12250</v>
      </c>
      <c r="H76" s="15" t="n">
        <f aca="false">Invoices!D76</f>
        <v>46105</v>
      </c>
      <c r="I76" s="14" t="n">
        <f aca="false">Invoices!E76</f>
        <v>11260.36</v>
      </c>
      <c r="J76" s="14" t="n">
        <f aca="false">Invoices!F76</f>
        <v>1463.85</v>
      </c>
      <c r="K76" s="14" t="n">
        <f aca="false">Invoices!G76</f>
        <v>12724.21</v>
      </c>
      <c r="L76" s="15" t="n">
        <f aca="false">IFERROR(H76+INDEX(Vendors!$H$2:$H$11,MATCH(C76,Vendors!$A$2:$A$11,0)),H76+30)</f>
        <v>46150</v>
      </c>
      <c r="M76" s="16" t="n">
        <f aca="false">IF(COUNTIF($A$2:A76,A76)&gt;1,1,0)</f>
        <v>0</v>
      </c>
      <c r="N76" s="14" t="n">
        <f aca="false">IF(E76="","",SUMIFS($I$2:$I$97,$E$2:$E$97,E76,$M$2:$M$97,0))</f>
        <v>11260.36</v>
      </c>
      <c r="O76" s="16" t="n">
        <f aca="false">IF(C76="UNKNOWN",1,0)</f>
        <v>0</v>
      </c>
      <c r="P76" s="16" t="n">
        <f aca="false">IF(E76="",1,0)</f>
        <v>0</v>
      </c>
      <c r="Q76" s="16" t="n">
        <f aca="false">IF(F76="NOT FOUND",1,0)</f>
        <v>0</v>
      </c>
      <c r="R76" s="16" t="n">
        <f aca="false">IF(AND(F76&lt;&gt;"",F76&lt;&gt;"NOT FOUND",F76&lt;&gt;C76),1,0)</f>
        <v>0</v>
      </c>
      <c r="S76" s="16" t="n">
        <f aca="false">IF(AND(M76=0,ISNUMBER(G76),N76&gt;G76),1,0)</f>
        <v>0</v>
      </c>
      <c r="T76" s="16" t="n">
        <f aca="false">IF(ABS(I76+J76-K76)&gt;0.01,1,0)</f>
        <v>0</v>
      </c>
      <c r="U76" s="16" t="n">
        <f aca="false">IFERROR(IF(ABS(J76-ROUND(I76*INDEX(Vendors!$G$2:$G$11,MATCH(C76,Vendors!$A$2:$A$11,0)),2))&gt;0.01,1,0),0)</f>
        <v>0</v>
      </c>
      <c r="V76" s="16" t="n">
        <f aca="false">IF(D76="Inactive",1,0)</f>
        <v>0</v>
      </c>
      <c r="W76" s="14" t="n">
        <f aca="false">SUMIFS(Payments!$D$2:$D$69,Payments!$F$2:$F$69,A76)</f>
        <v>12724.21</v>
      </c>
      <c r="X76" s="16" t="n">
        <f aca="false">IF(AND(M76=0,W76&gt;0,ABS(W76-K76)&gt;0.01),1,0)</f>
        <v>0</v>
      </c>
      <c r="Y76" s="16" t="n">
        <f aca="false">IF(AND(M76=0,W76=0,L76&lt;About!$B$3),1,0)</f>
        <v>0</v>
      </c>
      <c r="Z76" s="16" t="n">
        <f aca="false">M76+SUM(O76:V76)+X76+Y76</f>
        <v>0</v>
      </c>
    </row>
    <row r="77" customFormat="false" ht="15" hidden="false" customHeight="false" outlineLevel="0" collapsed="false">
      <c r="A77" s="2" t="str">
        <f aca="false">Invoices!A77</f>
        <v>INV-10015</v>
      </c>
      <c r="B77" s="2" t="str">
        <f aca="false">Invoices!B77</f>
        <v>Bluewater Datamail</v>
      </c>
      <c r="C77" s="2" t="str">
        <f aca="false">IFERROR(INDEX(Vendor_Aliases!$B$2:$B$25,MATCH(UPPER(TRIM(B77)),Vendor_Aliases!$A$2:$A$25,0)),"UNKNOWN")</f>
        <v>V010</v>
      </c>
      <c r="D77" s="2" t="str">
        <f aca="false">IFERROR(INDEX(Vendors!$E$2:$E$11,MATCH(C77,Vendors!$A$2:$A$11,0)),"")</f>
        <v>Inactive</v>
      </c>
      <c r="E77" s="2" t="str">
        <f aca="false">IF(Invoices!C77="","",Invoices!C77)</f>
        <v>PO-4505</v>
      </c>
      <c r="F77" s="2" t="str">
        <f aca="false">IF(E77="","",IFERROR(INDEX(POs!$B$2:$B$61,MATCH(E77,POs!$A$2:$A$61,0)),"NOT FOUND"))</f>
        <v>V010</v>
      </c>
      <c r="G77" s="14" t="n">
        <f aca="false">IF(E77="","",IFERROR(INDEX(POs!$E$2:$E$61,MATCH(E77,POs!$A$2:$A$61,0)),""))</f>
        <v>7600</v>
      </c>
      <c r="H77" s="15" t="n">
        <f aca="false">Invoices!D77</f>
        <v>46241</v>
      </c>
      <c r="I77" s="14" t="n">
        <f aca="false">Invoices!E77</f>
        <v>6999.58</v>
      </c>
      <c r="J77" s="14" t="n">
        <f aca="false">Invoices!F77</f>
        <v>909.95</v>
      </c>
      <c r="K77" s="14" t="n">
        <f aca="false">Invoices!G77</f>
        <v>7934.53</v>
      </c>
      <c r="L77" s="15" t="n">
        <f aca="false">IFERROR(H77+INDEX(Vendors!$H$2:$H$11,MATCH(C77,Vendors!$A$2:$A$11,0)),H77+30)</f>
        <v>46271</v>
      </c>
      <c r="M77" s="16" t="n">
        <f aca="false">IF(COUNTIF($A$2:A77,A77)&gt;1,1,0)</f>
        <v>0</v>
      </c>
      <c r="N77" s="14" t="n">
        <f aca="false">IF(E77="","",SUMIFS($I$2:$I$97,$E$2:$E$97,E77,$M$2:$M$97,0))</f>
        <v>6999.58</v>
      </c>
      <c r="O77" s="16" t="n">
        <f aca="false">IF(C77="UNKNOWN",1,0)</f>
        <v>0</v>
      </c>
      <c r="P77" s="16" t="n">
        <f aca="false">IF(E77="",1,0)</f>
        <v>0</v>
      </c>
      <c r="Q77" s="16" t="n">
        <f aca="false">IF(F77="NOT FOUND",1,0)</f>
        <v>0</v>
      </c>
      <c r="R77" s="16" t="n">
        <f aca="false">IF(AND(F77&lt;&gt;"",F77&lt;&gt;"NOT FOUND",F77&lt;&gt;C77),1,0)</f>
        <v>0</v>
      </c>
      <c r="S77" s="16" t="n">
        <f aca="false">IF(AND(M77=0,ISNUMBER(G77),N77&gt;G77),1,0)</f>
        <v>0</v>
      </c>
      <c r="T77" s="16" t="n">
        <f aca="false">IF(ABS(I77+J77-K77)&gt;0.01,1,0)</f>
        <v>1</v>
      </c>
      <c r="U77" s="16" t="n">
        <f aca="false">IFERROR(IF(ABS(J77-ROUND(I77*INDEX(Vendors!$G$2:$G$11,MATCH(C77,Vendors!$A$2:$A$11,0)),2))&gt;0.01,1,0),0)</f>
        <v>0</v>
      </c>
      <c r="V77" s="16" t="n">
        <f aca="false">IF(D77="Inactive",1,0)</f>
        <v>1</v>
      </c>
      <c r="W77" s="14" t="n">
        <f aca="false">SUMIFS(Payments!$D$2:$D$69,Payments!$F$2:$F$69,A77)</f>
        <v>7141.08</v>
      </c>
      <c r="X77" s="16" t="n">
        <f aca="false">IF(AND(M77=0,W77&gt;0,ABS(W77-K77)&gt;0.01),1,0)</f>
        <v>1</v>
      </c>
      <c r="Y77" s="16" t="n">
        <f aca="false">IF(AND(M77=0,W77=0,L77&lt;About!$B$3),1,0)</f>
        <v>0</v>
      </c>
      <c r="Z77" s="16" t="n">
        <f aca="false">M77+SUM(O77:V77)+X77+Y77</f>
        <v>3</v>
      </c>
    </row>
    <row r="78" customFormat="false" ht="15" hidden="false" customHeight="false" outlineLevel="0" collapsed="false">
      <c r="A78" s="2" t="str">
        <f aca="false">Invoices!A78</f>
        <v>INV-10115</v>
      </c>
      <c r="B78" s="2" t="str">
        <f aca="false">Invoices!B78</f>
        <v>Harbourview Postage</v>
      </c>
      <c r="C78" s="2" t="str">
        <f aca="false">IFERROR(INDEX(Vendor_Aliases!$B$2:$B$25,MATCH(UPPER(TRIM(B78)),Vendor_Aliases!$A$2:$A$25,0)),"UNKNOWN")</f>
        <v>V005</v>
      </c>
      <c r="D78" s="2" t="str">
        <f aca="false">IFERROR(INDEX(Vendors!$E$2:$E$11,MATCH(C78,Vendors!$A$2:$A$11,0)),"")</f>
        <v>Active</v>
      </c>
      <c r="E78" s="2" t="str">
        <f aca="false">IF(Invoices!C78="","",Invoices!C78)</f>
        <v>PO-4588</v>
      </c>
      <c r="F78" s="2" t="str">
        <f aca="false">IF(E78="","",IFERROR(INDEX(POs!$B$2:$B$61,MATCH(E78,POs!$A$2:$A$61,0)),"NOT FOUND"))</f>
        <v>V005</v>
      </c>
      <c r="G78" s="14" t="n">
        <f aca="false">IF(E78="","",IFERROR(INDEX(POs!$E$2:$E$61,MATCH(E78,POs!$A$2:$A$61,0)),""))</f>
        <v>10000</v>
      </c>
      <c r="H78" s="15" t="n">
        <f aca="false">Invoices!D78</f>
        <v>46070</v>
      </c>
      <c r="I78" s="14" t="n">
        <f aca="false">Invoices!E78</f>
        <v>9306.12</v>
      </c>
      <c r="J78" s="14" t="n">
        <f aca="false">Invoices!F78</f>
        <v>1209.8</v>
      </c>
      <c r="K78" s="14" t="n">
        <f aca="false">Invoices!G78</f>
        <v>10515.92</v>
      </c>
      <c r="L78" s="15" t="n">
        <f aca="false">IFERROR(H78+INDEX(Vendors!$H$2:$H$11,MATCH(C78,Vendors!$A$2:$A$11,0)),H78+30)</f>
        <v>46085</v>
      </c>
      <c r="M78" s="16" t="n">
        <f aca="false">IF(COUNTIF($A$2:A78,A78)&gt;1,1,0)</f>
        <v>0</v>
      </c>
      <c r="N78" s="14" t="n">
        <f aca="false">IF(E78="","",SUMIFS($I$2:$I$97,$E$2:$E$97,E78,$M$2:$M$97,0))</f>
        <v>9306.12</v>
      </c>
      <c r="O78" s="16" t="n">
        <f aca="false">IF(C78="UNKNOWN",1,0)</f>
        <v>0</v>
      </c>
      <c r="P78" s="16" t="n">
        <f aca="false">IF(E78="",1,0)</f>
        <v>0</v>
      </c>
      <c r="Q78" s="16" t="n">
        <f aca="false">IF(F78="NOT FOUND",1,0)</f>
        <v>0</v>
      </c>
      <c r="R78" s="16" t="n">
        <f aca="false">IF(AND(F78&lt;&gt;"",F78&lt;&gt;"NOT FOUND",F78&lt;&gt;C78),1,0)</f>
        <v>0</v>
      </c>
      <c r="S78" s="16" t="n">
        <f aca="false">IF(AND(M78=0,ISNUMBER(G78),N78&gt;G78),1,0)</f>
        <v>0</v>
      </c>
      <c r="T78" s="16" t="n">
        <f aca="false">IF(ABS(I78+J78-K78)&gt;0.01,1,0)</f>
        <v>0</v>
      </c>
      <c r="U78" s="16" t="n">
        <f aca="false">IFERROR(IF(ABS(J78-ROUND(I78*INDEX(Vendors!$G$2:$G$11,MATCH(C78,Vendors!$A$2:$A$11,0)),2))&gt;0.01,1,0),0)</f>
        <v>0</v>
      </c>
      <c r="V78" s="16" t="n">
        <f aca="false">IF(D78="Inactive",1,0)</f>
        <v>0</v>
      </c>
      <c r="W78" s="14" t="n">
        <f aca="false">SUMIFS(Payments!$D$2:$D$69,Payments!$F$2:$F$69,A78)</f>
        <v>0</v>
      </c>
      <c r="X78" s="16" t="n">
        <f aca="false">IF(AND(M78=0,W78&gt;0,ABS(W78-K78)&gt;0.01),1,0)</f>
        <v>0</v>
      </c>
      <c r="Y78" s="16" t="n">
        <f aca="false">IF(AND(M78=0,W78=0,L78&lt;About!$B$3),1,0)</f>
        <v>1</v>
      </c>
      <c r="Z78" s="16" t="n">
        <f aca="false">M78+SUM(O78:V78)+X78+Y78</f>
        <v>1</v>
      </c>
    </row>
    <row r="79" customFormat="false" ht="15" hidden="false" customHeight="false" outlineLevel="0" collapsed="false">
      <c r="A79" s="2" t="str">
        <f aca="false">Invoices!A79</f>
        <v>INV-10160</v>
      </c>
      <c r="B79" s="2" t="str">
        <f aca="false">Invoices!B79</f>
        <v>Lakeshore Envelope Company</v>
      </c>
      <c r="C79" s="2" t="str">
        <f aca="false">IFERROR(INDEX(Vendor_Aliases!$B$2:$B$25,MATCH(UPPER(TRIM(B79)),Vendor_Aliases!$A$2:$A$25,0)),"UNKNOWN")</f>
        <v>V003</v>
      </c>
      <c r="D79" s="2" t="str">
        <f aca="false">IFERROR(INDEX(Vendors!$E$2:$E$11,MATCH(C79,Vendors!$A$2:$A$11,0)),"")</f>
        <v>Active</v>
      </c>
      <c r="E79" s="2" t="str">
        <f aca="false">IF(Invoices!C79="","",Invoices!C79)</f>
        <v>PO-4617</v>
      </c>
      <c r="F79" s="2" t="str">
        <f aca="false">IF(E79="","",IFERROR(INDEX(POs!$B$2:$B$61,MATCH(E79,POs!$A$2:$A$61,0)),"NOT FOUND"))</f>
        <v>V003</v>
      </c>
      <c r="G79" s="14" t="n">
        <f aca="false">IF(E79="","",IFERROR(INDEX(POs!$E$2:$E$61,MATCH(E79,POs!$A$2:$A$61,0)),""))</f>
        <v>13000</v>
      </c>
      <c r="H79" s="15" t="n">
        <f aca="false">Invoices!D79</f>
        <v>46259</v>
      </c>
      <c r="I79" s="14" t="n">
        <f aca="false">Invoices!E79</f>
        <v>5609.68</v>
      </c>
      <c r="J79" s="14" t="n">
        <f aca="false">Invoices!F79</f>
        <v>729.26</v>
      </c>
      <c r="K79" s="14" t="n">
        <f aca="false">Invoices!G79</f>
        <v>6338.94</v>
      </c>
      <c r="L79" s="15" t="n">
        <f aca="false">IFERROR(H79+INDEX(Vendors!$H$2:$H$11,MATCH(C79,Vendors!$A$2:$A$11,0)),H79+30)</f>
        <v>46304</v>
      </c>
      <c r="M79" s="16" t="n">
        <f aca="false">IF(COUNTIF($A$2:A79,A79)&gt;1,1,0)</f>
        <v>0</v>
      </c>
      <c r="N79" s="14" t="n">
        <f aca="false">IF(E79="","",SUMIFS($I$2:$I$97,$E$2:$E$97,E79,$M$2:$M$97,0))</f>
        <v>10533.3</v>
      </c>
      <c r="O79" s="16" t="n">
        <f aca="false">IF(C79="UNKNOWN",1,0)</f>
        <v>0</v>
      </c>
      <c r="P79" s="16" t="n">
        <f aca="false">IF(E79="",1,0)</f>
        <v>0</v>
      </c>
      <c r="Q79" s="16" t="n">
        <f aca="false">IF(F79="NOT FOUND",1,0)</f>
        <v>0</v>
      </c>
      <c r="R79" s="16" t="n">
        <f aca="false">IF(AND(F79&lt;&gt;"",F79&lt;&gt;"NOT FOUND",F79&lt;&gt;C79),1,0)</f>
        <v>0</v>
      </c>
      <c r="S79" s="16" t="n">
        <f aca="false">IF(AND(M79=0,ISNUMBER(G79),N79&gt;G79),1,0)</f>
        <v>0</v>
      </c>
      <c r="T79" s="16" t="n">
        <f aca="false">IF(ABS(I79+J79-K79)&gt;0.01,1,0)</f>
        <v>0</v>
      </c>
      <c r="U79" s="16" t="n">
        <f aca="false">IFERROR(IF(ABS(J79-ROUND(I79*INDEX(Vendors!$G$2:$G$11,MATCH(C79,Vendors!$A$2:$A$11,0)),2))&gt;0.01,1,0),0)</f>
        <v>0</v>
      </c>
      <c r="V79" s="16" t="n">
        <f aca="false">IF(D79="Inactive",1,0)</f>
        <v>0</v>
      </c>
      <c r="W79" s="14" t="n">
        <f aca="false">SUMIFS(Payments!$D$2:$D$69,Payments!$F$2:$F$69,A79)</f>
        <v>0</v>
      </c>
      <c r="X79" s="16" t="n">
        <f aca="false">IF(AND(M79=0,W79&gt;0,ABS(W79-K79)&gt;0.01),1,0)</f>
        <v>0</v>
      </c>
      <c r="Y79" s="16" t="n">
        <f aca="false">IF(AND(M79=0,W79=0,L79&lt;About!$B$3),1,0)</f>
        <v>0</v>
      </c>
      <c r="Z79" s="16" t="n">
        <f aca="false">M79+SUM(O79:V79)+X79+Y79</f>
        <v>0</v>
      </c>
    </row>
    <row r="80" customFormat="false" ht="15" hidden="false" customHeight="false" outlineLevel="0" collapsed="false">
      <c r="A80" s="2" t="str">
        <f aca="false">Invoices!A80</f>
        <v>INV-10002</v>
      </c>
      <c r="B80" s="2" t="str">
        <f aca="false">Invoices!B80</f>
        <v>Redwood Document Services</v>
      </c>
      <c r="C80" s="2" t="str">
        <f aca="false">IFERROR(INDEX(Vendor_Aliases!$B$2:$B$25,MATCH(UPPER(TRIM(B80)),Vendor_Aliases!$A$2:$A$25,0)),"UNKNOWN")</f>
        <v>V007</v>
      </c>
      <c r="D80" s="2" t="str">
        <f aca="false">IFERROR(INDEX(Vendors!$E$2:$E$11,MATCH(C80,Vendors!$A$2:$A$11,0)),"")</f>
        <v>Inactive</v>
      </c>
      <c r="E80" s="2" t="str">
        <f aca="false">IF(Invoices!C80="","",Invoices!C80)</f>
        <v>PO-4501</v>
      </c>
      <c r="F80" s="2" t="str">
        <f aca="false">IF(E80="","",IFERROR(INDEX(POs!$B$2:$B$61,MATCH(E80,POs!$A$2:$A$61,0)),"NOT FOUND"))</f>
        <v>V007</v>
      </c>
      <c r="G80" s="14" t="n">
        <f aca="false">IF(E80="","",IFERROR(INDEX(POs!$E$2:$E$61,MATCH(E80,POs!$A$2:$A$61,0)),""))</f>
        <v>7700</v>
      </c>
      <c r="H80" s="15" t="n">
        <f aca="false">Invoices!D80</f>
        <v>46070</v>
      </c>
      <c r="I80" s="14" t="n">
        <f aca="false">Invoices!E80</f>
        <v>3507.72</v>
      </c>
      <c r="J80" s="14" t="n">
        <f aca="false">Invoices!F80</f>
        <v>420.93</v>
      </c>
      <c r="K80" s="14" t="n">
        <f aca="false">Invoices!G80</f>
        <v>3928.65</v>
      </c>
      <c r="L80" s="15" t="n">
        <f aca="false">IFERROR(H80+INDEX(Vendors!$H$2:$H$11,MATCH(C80,Vendors!$A$2:$A$11,0)),H80+30)</f>
        <v>46100</v>
      </c>
      <c r="M80" s="16" t="n">
        <f aca="false">IF(COUNTIF($A$2:A80,A80)&gt;1,1,0)</f>
        <v>0</v>
      </c>
      <c r="N80" s="14" t="n">
        <f aca="false">IF(E80="","",SUMIFS($I$2:$I$97,$E$2:$E$97,E80,$M$2:$M$97,0))</f>
        <v>6291.82</v>
      </c>
      <c r="O80" s="16" t="n">
        <f aca="false">IF(C80="UNKNOWN",1,0)</f>
        <v>0</v>
      </c>
      <c r="P80" s="16" t="n">
        <f aca="false">IF(E80="",1,0)</f>
        <v>0</v>
      </c>
      <c r="Q80" s="16" t="n">
        <f aca="false">IF(F80="NOT FOUND",1,0)</f>
        <v>0</v>
      </c>
      <c r="R80" s="16" t="n">
        <f aca="false">IF(AND(F80&lt;&gt;"",F80&lt;&gt;"NOT FOUND",F80&lt;&gt;C80),1,0)</f>
        <v>0</v>
      </c>
      <c r="S80" s="16" t="n">
        <f aca="false">IF(AND(M80=0,ISNUMBER(G80),N80&gt;G80),1,0)</f>
        <v>0</v>
      </c>
      <c r="T80" s="16" t="n">
        <f aca="false">IF(ABS(I80+J80-K80)&gt;0.01,1,0)</f>
        <v>0</v>
      </c>
      <c r="U80" s="16" t="n">
        <f aca="false">IFERROR(IF(ABS(J80-ROUND(I80*INDEX(Vendors!$G$2:$G$11,MATCH(C80,Vendors!$A$2:$A$11,0)),2))&gt;0.01,1,0),0)</f>
        <v>0</v>
      </c>
      <c r="V80" s="16" t="n">
        <f aca="false">IF(D80="Inactive",1,0)</f>
        <v>1</v>
      </c>
      <c r="W80" s="14" t="n">
        <f aca="false">SUMIFS(Payments!$D$2:$D$69,Payments!$F$2:$F$69,A80)</f>
        <v>3928.65</v>
      </c>
      <c r="X80" s="16" t="n">
        <f aca="false">IF(AND(M80=0,W80&gt;0,ABS(W80-K80)&gt;0.01),1,0)</f>
        <v>0</v>
      </c>
      <c r="Y80" s="16" t="n">
        <f aca="false">IF(AND(M80=0,W80=0,L80&lt;About!$B$3),1,0)</f>
        <v>0</v>
      </c>
      <c r="Z80" s="16" t="n">
        <f aca="false">M80+SUM(O80:V80)+X80+Y80</f>
        <v>1</v>
      </c>
    </row>
    <row r="81" customFormat="false" ht="15" hidden="false" customHeight="false" outlineLevel="0" collapsed="false">
      <c r="A81" s="2" t="str">
        <f aca="false">Invoices!A81</f>
        <v>INV-10098</v>
      </c>
      <c r="B81" s="2" t="str">
        <f aca="false">Invoices!B81</f>
        <v>GRANITE PRESS LTD</v>
      </c>
      <c r="C81" s="2" t="str">
        <f aca="false">IFERROR(INDEX(Vendor_Aliases!$B$2:$B$25,MATCH(UPPER(TRIM(B81)),Vendor_Aliases!$A$2:$A$25,0)),"UNKNOWN")</f>
        <v>V009</v>
      </c>
      <c r="D81" s="2" t="str">
        <f aca="false">IFERROR(INDEX(Vendors!$E$2:$E$11,MATCH(C81,Vendors!$A$2:$A$11,0)),"")</f>
        <v>Active</v>
      </c>
      <c r="E81" s="2" t="str">
        <f aca="false">IF(Invoices!C81="","",Invoices!C81)</f>
        <v>PO-4567</v>
      </c>
      <c r="F81" s="2" t="str">
        <f aca="false">IF(E81="","",IFERROR(INDEX(POs!$B$2:$B$61,MATCH(E81,POs!$A$2:$A$61,0)),"NOT FOUND"))</f>
        <v>V009</v>
      </c>
      <c r="G81" s="14" t="n">
        <f aca="false">IF(E81="","",IFERROR(INDEX(POs!$E$2:$E$61,MATCH(E81,POs!$A$2:$A$61,0)),""))</f>
        <v>18850</v>
      </c>
      <c r="H81" s="15" t="n">
        <f aca="false">Invoices!D81</f>
        <v>46096</v>
      </c>
      <c r="I81" s="14" t="n">
        <f aca="false">Invoices!E81</f>
        <v>8251.04</v>
      </c>
      <c r="J81" s="14" t="n">
        <f aca="false">Invoices!F81</f>
        <v>412.55</v>
      </c>
      <c r="K81" s="14" t="n">
        <f aca="false">Invoices!G81</f>
        <v>8663.59</v>
      </c>
      <c r="L81" s="15" t="n">
        <f aca="false">IFERROR(H81+INDEX(Vendors!$H$2:$H$11,MATCH(C81,Vendors!$A$2:$A$11,0)),H81+30)</f>
        <v>46156</v>
      </c>
      <c r="M81" s="16" t="n">
        <f aca="false">IF(COUNTIF($A$2:A81,A81)&gt;1,1,0)</f>
        <v>0</v>
      </c>
      <c r="N81" s="14" t="n">
        <f aca="false">IF(E81="","",SUMIFS($I$2:$I$97,$E$2:$E$97,E81,$M$2:$M$97,0))</f>
        <v>15005.59</v>
      </c>
      <c r="O81" s="16" t="n">
        <f aca="false">IF(C81="UNKNOWN",1,0)</f>
        <v>0</v>
      </c>
      <c r="P81" s="16" t="n">
        <f aca="false">IF(E81="",1,0)</f>
        <v>0</v>
      </c>
      <c r="Q81" s="16" t="n">
        <f aca="false">IF(F81="NOT FOUND",1,0)</f>
        <v>0</v>
      </c>
      <c r="R81" s="16" t="n">
        <f aca="false">IF(AND(F81&lt;&gt;"",F81&lt;&gt;"NOT FOUND",F81&lt;&gt;C81),1,0)</f>
        <v>0</v>
      </c>
      <c r="S81" s="16" t="n">
        <f aca="false">IF(AND(M81=0,ISNUMBER(G81),N81&gt;G81),1,0)</f>
        <v>0</v>
      </c>
      <c r="T81" s="16" t="n">
        <f aca="false">IF(ABS(I81+J81-K81)&gt;0.01,1,0)</f>
        <v>0</v>
      </c>
      <c r="U81" s="16" t="n">
        <f aca="false">IFERROR(IF(ABS(J81-ROUND(I81*INDEX(Vendors!$G$2:$G$11,MATCH(C81,Vendors!$A$2:$A$11,0)),2))&gt;0.01,1,0),0)</f>
        <v>0</v>
      </c>
      <c r="V81" s="16" t="n">
        <f aca="false">IF(D81="Inactive",1,0)</f>
        <v>0</v>
      </c>
      <c r="W81" s="14" t="n">
        <f aca="false">SUMIFS(Payments!$D$2:$D$69,Payments!$F$2:$F$69,A81)</f>
        <v>8663.59</v>
      </c>
      <c r="X81" s="16" t="n">
        <f aca="false">IF(AND(M81=0,W81&gt;0,ABS(W81-K81)&gt;0.01),1,0)</f>
        <v>0</v>
      </c>
      <c r="Y81" s="16" t="n">
        <f aca="false">IF(AND(M81=0,W81=0,L81&lt;About!$B$3),1,0)</f>
        <v>0</v>
      </c>
      <c r="Z81" s="16" t="n">
        <f aca="false">M81+SUM(O81:V81)+X81+Y81</f>
        <v>0</v>
      </c>
    </row>
    <row r="82" customFormat="false" ht="15" hidden="false" customHeight="false" outlineLevel="0" collapsed="false">
      <c r="A82" s="2" t="str">
        <f aca="false">Invoices!A82</f>
        <v>INV-10018</v>
      </c>
      <c r="B82" s="2" t="str">
        <f aca="false">Invoices!B82</f>
        <v>Harbourview Postage</v>
      </c>
      <c r="C82" s="2" t="str">
        <f aca="false">IFERROR(INDEX(Vendor_Aliases!$B$2:$B$25,MATCH(UPPER(TRIM(B82)),Vendor_Aliases!$A$2:$A$25,0)),"UNKNOWN")</f>
        <v>V005</v>
      </c>
      <c r="D82" s="2" t="str">
        <f aca="false">IFERROR(INDEX(Vendors!$E$2:$E$11,MATCH(C82,Vendors!$A$2:$A$11,0)),"")</f>
        <v>Active</v>
      </c>
      <c r="E82" s="2" t="str">
        <f aca="false">IF(Invoices!C82="","",Invoices!C82)</f>
        <v>PO-4506</v>
      </c>
      <c r="F82" s="2" t="str">
        <f aca="false">IF(E82="","",IFERROR(INDEX(POs!$B$2:$B$61,MATCH(E82,POs!$A$2:$A$61,0)),"NOT FOUND"))</f>
        <v>V005</v>
      </c>
      <c r="G82" s="14" t="n">
        <f aca="false">IF(E82="","",IFERROR(INDEX(POs!$E$2:$E$61,MATCH(E82,POs!$A$2:$A$61,0)),""))</f>
        <v>10700</v>
      </c>
      <c r="H82" s="15" t="n">
        <f aca="false">Invoices!D82</f>
        <v>46234</v>
      </c>
      <c r="I82" s="14" t="n">
        <f aca="false">Invoices!E82</f>
        <v>4768.95</v>
      </c>
      <c r="J82" s="14" t="n">
        <f aca="false">Invoices!F82</f>
        <v>619.96</v>
      </c>
      <c r="K82" s="14" t="n">
        <f aca="false">Invoices!G82</f>
        <v>5388.91</v>
      </c>
      <c r="L82" s="15" t="n">
        <f aca="false">IFERROR(H82+INDEX(Vendors!$H$2:$H$11,MATCH(C82,Vendors!$A$2:$A$11,0)),H82+30)</f>
        <v>46249</v>
      </c>
      <c r="M82" s="16" t="n">
        <f aca="false">IF(COUNTIF($A$2:A82,A82)&gt;1,1,0)</f>
        <v>0</v>
      </c>
      <c r="N82" s="14" t="n">
        <f aca="false">IF(E82="","",SUMIFS($I$2:$I$97,$E$2:$E$97,E82,$M$2:$M$97,0))</f>
        <v>4768.95</v>
      </c>
      <c r="O82" s="16" t="n">
        <f aca="false">IF(C82="UNKNOWN",1,0)</f>
        <v>0</v>
      </c>
      <c r="P82" s="16" t="n">
        <f aca="false">IF(E82="",1,0)</f>
        <v>0</v>
      </c>
      <c r="Q82" s="16" t="n">
        <f aca="false">IF(F82="NOT FOUND",1,0)</f>
        <v>0</v>
      </c>
      <c r="R82" s="16" t="n">
        <f aca="false">IF(AND(F82&lt;&gt;"",F82&lt;&gt;"NOT FOUND",F82&lt;&gt;C82),1,0)</f>
        <v>0</v>
      </c>
      <c r="S82" s="16" t="n">
        <f aca="false">IF(AND(M82=0,ISNUMBER(G82),N82&gt;G82),1,0)</f>
        <v>0</v>
      </c>
      <c r="T82" s="16" t="n">
        <f aca="false">IF(ABS(I82+J82-K82)&gt;0.01,1,0)</f>
        <v>0</v>
      </c>
      <c r="U82" s="16" t="n">
        <f aca="false">IFERROR(IF(ABS(J82-ROUND(I82*INDEX(Vendors!$G$2:$G$11,MATCH(C82,Vendors!$A$2:$A$11,0)),2))&gt;0.01,1,0),0)</f>
        <v>0</v>
      </c>
      <c r="V82" s="16" t="n">
        <f aca="false">IF(D82="Inactive",1,0)</f>
        <v>0</v>
      </c>
      <c r="W82" s="14" t="n">
        <f aca="false">SUMIFS(Payments!$D$2:$D$69,Payments!$F$2:$F$69,A82)</f>
        <v>5388.91</v>
      </c>
      <c r="X82" s="16" t="n">
        <f aca="false">IF(AND(M82=0,W82&gt;0,ABS(W82-K82)&gt;0.01),1,0)</f>
        <v>0</v>
      </c>
      <c r="Y82" s="16" t="n">
        <f aca="false">IF(AND(M82=0,W82=0,L82&lt;About!$B$3),1,0)</f>
        <v>0</v>
      </c>
      <c r="Z82" s="16" t="n">
        <f aca="false">M82+SUM(O82:V82)+X82+Y82</f>
        <v>0</v>
      </c>
    </row>
    <row r="83" customFormat="false" ht="15" hidden="false" customHeight="false" outlineLevel="0" collapsed="false">
      <c r="A83" s="2" t="str">
        <f aca="false">Invoices!A83</f>
        <v>INV-10107</v>
      </c>
      <c r="B83" s="2" t="str">
        <f aca="false">Invoices!B83</f>
        <v>NORTHBRIDGE PRINT SERVICES</v>
      </c>
      <c r="C83" s="2" t="str">
        <f aca="false">IFERROR(INDEX(Vendor_Aliases!$B$2:$B$25,MATCH(UPPER(TRIM(B83)),Vendor_Aliases!$A$2:$A$25,0)),"UNKNOWN")</f>
        <v>V001</v>
      </c>
      <c r="D83" s="2" t="str">
        <f aca="false">IFERROR(INDEX(Vendors!$E$2:$E$11,MATCH(C83,Vendors!$A$2:$A$11,0)),"")</f>
        <v>Active</v>
      </c>
      <c r="E83" s="2" t="str">
        <f aca="false">IF(Invoices!C83="","",Invoices!C83)</f>
        <v>PO-4575</v>
      </c>
      <c r="F83" s="2" t="str">
        <f aca="false">IF(E83="","",IFERROR(INDEX(POs!$B$2:$B$61,MATCH(E83,POs!$A$2:$A$61,0)),"NOT FOUND"))</f>
        <v>V001</v>
      </c>
      <c r="G83" s="14" t="n">
        <f aca="false">IF(E83="","",IFERROR(INDEX(POs!$E$2:$E$61,MATCH(E83,POs!$A$2:$A$61,0)),""))</f>
        <v>8350</v>
      </c>
      <c r="H83" s="15" t="n">
        <f aca="false">Invoices!D83</f>
        <v>46240</v>
      </c>
      <c r="I83" s="14" t="n">
        <f aca="false">Invoices!E83</f>
        <v>3579.19</v>
      </c>
      <c r="J83" s="14" t="n">
        <f aca="false">Invoices!F83</f>
        <v>465.29</v>
      </c>
      <c r="K83" s="14" t="n">
        <f aca="false">Invoices!G83</f>
        <v>4044.48</v>
      </c>
      <c r="L83" s="15" t="n">
        <f aca="false">IFERROR(H83+INDEX(Vendors!$H$2:$H$11,MATCH(C83,Vendors!$A$2:$A$11,0)),H83+30)</f>
        <v>46270</v>
      </c>
      <c r="M83" s="16" t="n">
        <f aca="false">IF(COUNTIF($A$2:A83,A83)&gt;1,1,0)</f>
        <v>0</v>
      </c>
      <c r="N83" s="14" t="n">
        <f aca="false">IF(E83="","",SUMIFS($I$2:$I$97,$E$2:$E$97,E83,$M$2:$M$97,0))</f>
        <v>6722.2</v>
      </c>
      <c r="O83" s="16" t="n">
        <f aca="false">IF(C83="UNKNOWN",1,0)</f>
        <v>0</v>
      </c>
      <c r="P83" s="16" t="n">
        <f aca="false">IF(E83="",1,0)</f>
        <v>0</v>
      </c>
      <c r="Q83" s="16" t="n">
        <f aca="false">IF(F83="NOT FOUND",1,0)</f>
        <v>0</v>
      </c>
      <c r="R83" s="16" t="n">
        <f aca="false">IF(AND(F83&lt;&gt;"",F83&lt;&gt;"NOT FOUND",F83&lt;&gt;C83),1,0)</f>
        <v>0</v>
      </c>
      <c r="S83" s="16" t="n">
        <f aca="false">IF(AND(M83=0,ISNUMBER(G83),N83&gt;G83),1,0)</f>
        <v>0</v>
      </c>
      <c r="T83" s="16" t="n">
        <f aca="false">IF(ABS(I83+J83-K83)&gt;0.01,1,0)</f>
        <v>0</v>
      </c>
      <c r="U83" s="16" t="n">
        <f aca="false">IFERROR(IF(ABS(J83-ROUND(I83*INDEX(Vendors!$G$2:$G$11,MATCH(C83,Vendors!$A$2:$A$11,0)),2))&gt;0.01,1,0),0)</f>
        <v>0</v>
      </c>
      <c r="V83" s="16" t="n">
        <f aca="false">IF(D83="Inactive",1,0)</f>
        <v>0</v>
      </c>
      <c r="W83" s="14" t="n">
        <f aca="false">SUMIFS(Payments!$D$2:$D$69,Payments!$F$2:$F$69,A83)</f>
        <v>4044.48</v>
      </c>
      <c r="X83" s="16" t="n">
        <f aca="false">IF(AND(M83=0,W83&gt;0,ABS(W83-K83)&gt;0.01),1,0)</f>
        <v>0</v>
      </c>
      <c r="Y83" s="16" t="n">
        <f aca="false">IF(AND(M83=0,W83=0,L83&lt;About!$B$3),1,0)</f>
        <v>0</v>
      </c>
      <c r="Z83" s="16" t="n">
        <f aca="false">M83+SUM(O83:V83)+X83+Y83</f>
        <v>0</v>
      </c>
    </row>
    <row r="84" customFormat="false" ht="15" hidden="false" customHeight="false" outlineLevel="0" collapsed="false">
      <c r="A84" s="2" t="str">
        <f aca="false">Invoices!A84</f>
        <v>INV-10013</v>
      </c>
      <c r="B84" s="2" t="str">
        <f aca="false">Invoices!B84</f>
        <v>Bluewater Datamail</v>
      </c>
      <c r="C84" s="2" t="str">
        <f aca="false">IFERROR(INDEX(Vendor_Aliases!$B$2:$B$25,MATCH(UPPER(TRIM(B84)),Vendor_Aliases!$A$2:$A$25,0)),"UNKNOWN")</f>
        <v>V010</v>
      </c>
      <c r="D84" s="2" t="str">
        <f aca="false">IFERROR(INDEX(Vendors!$E$2:$E$11,MATCH(C84,Vendors!$A$2:$A$11,0)),"")</f>
        <v>Inactive</v>
      </c>
      <c r="E84" s="2" t="str">
        <f aca="false">IF(Invoices!C84="","",Invoices!C84)</f>
        <v>PO-4503</v>
      </c>
      <c r="F84" s="2" t="str">
        <f aca="false">IF(E84="","",IFERROR(INDEX(POs!$B$2:$B$61,MATCH(E84,POs!$A$2:$A$61,0)),"NOT FOUND"))</f>
        <v>V010</v>
      </c>
      <c r="G84" s="14" t="n">
        <f aca="false">IF(E84="","",IFERROR(INDEX(POs!$E$2:$E$61,MATCH(E84,POs!$A$2:$A$61,0)),""))</f>
        <v>7950</v>
      </c>
      <c r="H84" s="15" t="n">
        <f aca="false">Invoices!D84</f>
        <v>46046</v>
      </c>
      <c r="I84" s="14" t="n">
        <f aca="false">Invoices!E84</f>
        <v>2842.76</v>
      </c>
      <c r="J84" s="14" t="n">
        <f aca="false">Invoices!F84</f>
        <v>369.56</v>
      </c>
      <c r="K84" s="14" t="n">
        <f aca="false">Invoices!G84</f>
        <v>3212.32</v>
      </c>
      <c r="L84" s="15" t="n">
        <f aca="false">IFERROR(H84+INDEX(Vendors!$H$2:$H$11,MATCH(C84,Vendors!$A$2:$A$11,0)),H84+30)</f>
        <v>46076</v>
      </c>
      <c r="M84" s="16" t="n">
        <f aca="false">IF(COUNTIF($A$2:A84,A84)&gt;1,1,0)</f>
        <v>1</v>
      </c>
      <c r="N84" s="14" t="n">
        <f aca="false">IF(E84="","",SUMIFS($I$2:$I$97,$E$2:$E$97,E84,$M$2:$M$97,0))</f>
        <v>6749.56</v>
      </c>
      <c r="O84" s="16" t="n">
        <f aca="false">IF(C84="UNKNOWN",1,0)</f>
        <v>0</v>
      </c>
      <c r="P84" s="16" t="n">
        <f aca="false">IF(E84="",1,0)</f>
        <v>0</v>
      </c>
      <c r="Q84" s="16" t="n">
        <f aca="false">IF(F84="NOT FOUND",1,0)</f>
        <v>0</v>
      </c>
      <c r="R84" s="16" t="n">
        <f aca="false">IF(AND(F84&lt;&gt;"",F84&lt;&gt;"NOT FOUND",F84&lt;&gt;C84),1,0)</f>
        <v>0</v>
      </c>
      <c r="S84" s="16" t="n">
        <f aca="false">IF(AND(M84=0,ISNUMBER(G84),N84&gt;G84),1,0)</f>
        <v>0</v>
      </c>
      <c r="T84" s="16" t="n">
        <f aca="false">IF(ABS(I84+J84-K84)&gt;0.01,1,0)</f>
        <v>0</v>
      </c>
      <c r="U84" s="16" t="n">
        <f aca="false">IFERROR(IF(ABS(J84-ROUND(I84*INDEX(Vendors!$G$2:$G$11,MATCH(C84,Vendors!$A$2:$A$11,0)),2))&gt;0.01,1,0),0)</f>
        <v>0</v>
      </c>
      <c r="V84" s="16" t="n">
        <f aca="false">IF(D84="Inactive",1,0)</f>
        <v>1</v>
      </c>
      <c r="W84" s="14" t="n">
        <f aca="false">SUMIFS(Payments!$D$2:$D$69,Payments!$F$2:$F$69,A84)</f>
        <v>3212.32</v>
      </c>
      <c r="X84" s="16" t="n">
        <f aca="false">IF(AND(M84=0,W84&gt;0,ABS(W84-K84)&gt;0.01),1,0)</f>
        <v>0</v>
      </c>
      <c r="Y84" s="16" t="n">
        <f aca="false">IF(AND(M84=0,W84=0,L84&lt;About!$B$3),1,0)</f>
        <v>0</v>
      </c>
      <c r="Z84" s="16" t="n">
        <f aca="false">M84+SUM(O84:V84)+X84+Y84</f>
        <v>2</v>
      </c>
    </row>
    <row r="85" customFormat="false" ht="15" hidden="false" customHeight="false" outlineLevel="0" collapsed="false">
      <c r="A85" s="2" t="str">
        <f aca="false">Invoices!A85</f>
        <v>INV-10084</v>
      </c>
      <c r="B85" s="2" t="str">
        <f aca="false">Invoices!B85</f>
        <v>MAPLE MAILING SOLUTIONS </v>
      </c>
      <c r="C85" s="2" t="str">
        <f aca="false">IFERROR(INDEX(Vendor_Aliases!$B$2:$B$25,MATCH(UPPER(TRIM(B85)),Vendor_Aliases!$A$2:$A$25,0)),"UNKNOWN")</f>
        <v>V002</v>
      </c>
      <c r="D85" s="2" t="str">
        <f aca="false">IFERROR(INDEX(Vendors!$E$2:$E$11,MATCH(C85,Vendors!$A$2:$A$11,0)),"")</f>
        <v>Active</v>
      </c>
      <c r="E85" s="2" t="str">
        <f aca="false">IF(Invoices!C85="","",Invoices!C85)</f>
        <v>PO-4559</v>
      </c>
      <c r="F85" s="2" t="str">
        <f aca="false">IF(E85="","",IFERROR(INDEX(POs!$B$2:$B$61,MATCH(E85,POs!$A$2:$A$61,0)),"NOT FOUND"))</f>
        <v>V002</v>
      </c>
      <c r="G85" s="14" t="n">
        <f aca="false">IF(E85="","",IFERROR(INDEX(POs!$E$2:$E$61,MATCH(E85,POs!$A$2:$A$61,0)),""))</f>
        <v>2500</v>
      </c>
      <c r="H85" s="15" t="n">
        <f aca="false">Invoices!D85</f>
        <v>46090</v>
      </c>
      <c r="I85" s="14" t="n">
        <f aca="false">Invoices!E85</f>
        <v>2277.54</v>
      </c>
      <c r="J85" s="14" t="n">
        <f aca="false">Invoices!F85</f>
        <v>296.08</v>
      </c>
      <c r="K85" s="14" t="n">
        <f aca="false">Invoices!G85</f>
        <v>2573.62</v>
      </c>
      <c r="L85" s="15" t="n">
        <f aca="false">IFERROR(H85+INDEX(Vendors!$H$2:$H$11,MATCH(C85,Vendors!$A$2:$A$11,0)),H85+30)</f>
        <v>46120</v>
      </c>
      <c r="M85" s="16" t="n">
        <f aca="false">IF(COUNTIF($A$2:A85,A85)&gt;1,1,0)</f>
        <v>0</v>
      </c>
      <c r="N85" s="14" t="n">
        <f aca="false">IF(E85="","",SUMIFS($I$2:$I$97,$E$2:$E$97,E85,$M$2:$M$97,0))</f>
        <v>2277.54</v>
      </c>
      <c r="O85" s="16" t="n">
        <f aca="false">IF(C85="UNKNOWN",1,0)</f>
        <v>0</v>
      </c>
      <c r="P85" s="16" t="n">
        <f aca="false">IF(E85="",1,0)</f>
        <v>0</v>
      </c>
      <c r="Q85" s="16" t="n">
        <f aca="false">IF(F85="NOT FOUND",1,0)</f>
        <v>0</v>
      </c>
      <c r="R85" s="16" t="n">
        <f aca="false">IF(AND(F85&lt;&gt;"",F85&lt;&gt;"NOT FOUND",F85&lt;&gt;C85),1,0)</f>
        <v>0</v>
      </c>
      <c r="S85" s="16" t="n">
        <f aca="false">IF(AND(M85=0,ISNUMBER(G85),N85&gt;G85),1,0)</f>
        <v>0</v>
      </c>
      <c r="T85" s="16" t="n">
        <f aca="false">IF(ABS(I85+J85-K85)&gt;0.01,1,0)</f>
        <v>0</v>
      </c>
      <c r="U85" s="16" t="n">
        <f aca="false">IFERROR(IF(ABS(J85-ROUND(I85*INDEX(Vendors!$G$2:$G$11,MATCH(C85,Vendors!$A$2:$A$11,0)),2))&gt;0.01,1,0),0)</f>
        <v>0</v>
      </c>
      <c r="V85" s="16" t="n">
        <f aca="false">IF(D85="Inactive",1,0)</f>
        <v>0</v>
      </c>
      <c r="W85" s="14" t="n">
        <f aca="false">SUMIFS(Payments!$D$2:$D$69,Payments!$F$2:$F$69,A85)</f>
        <v>2573.62</v>
      </c>
      <c r="X85" s="16" t="n">
        <f aca="false">IF(AND(M85=0,W85&gt;0,ABS(W85-K85)&gt;0.01),1,0)</f>
        <v>0</v>
      </c>
      <c r="Y85" s="16" t="n">
        <f aca="false">IF(AND(M85=0,W85=0,L85&lt;About!$B$3),1,0)</f>
        <v>0</v>
      </c>
      <c r="Z85" s="16" t="n">
        <f aca="false">M85+SUM(O85:V85)+X85+Y85</f>
        <v>0</v>
      </c>
    </row>
    <row r="86" customFormat="false" ht="15" hidden="false" customHeight="false" outlineLevel="0" collapsed="false">
      <c r="A86" s="2" t="str">
        <f aca="false">Invoices!A86</f>
        <v>INV-10019</v>
      </c>
      <c r="B86" s="2" t="str">
        <f aca="false">Invoices!B86</f>
        <v>Harbor View Postage Ltd.</v>
      </c>
      <c r="C86" s="2" t="str">
        <f aca="false">IFERROR(INDEX(Vendor_Aliases!$B$2:$B$25,MATCH(UPPER(TRIM(B86)),Vendor_Aliases!$A$2:$A$25,0)),"UNKNOWN")</f>
        <v>V005</v>
      </c>
      <c r="D86" s="2" t="str">
        <f aca="false">IFERROR(INDEX(Vendors!$E$2:$E$11,MATCH(C86,Vendors!$A$2:$A$11,0)),"")</f>
        <v>Active</v>
      </c>
      <c r="E86" s="2" t="str">
        <f aca="false">IF(Invoices!C86="","",Invoices!C86)</f>
        <v/>
      </c>
      <c r="F86" s="2" t="str">
        <f aca="false">IF(E86="","",IFERROR(INDEX(POs!$B$2:$B$61,MATCH(E86,POs!$A$2:$A$61,0)),"NOT FOUND"))</f>
        <v/>
      </c>
      <c r="G86" s="14" t="str">
        <f aca="false">IF(E86="","",IFERROR(INDEX(POs!$E$2:$E$61,MATCH(E86,POs!$A$2:$A$61,0)),""))</f>
        <v/>
      </c>
      <c r="H86" s="15" t="n">
        <f aca="false">Invoices!D86</f>
        <v>46250</v>
      </c>
      <c r="I86" s="14" t="n">
        <f aca="false">Invoices!E86</f>
        <v>3889.93</v>
      </c>
      <c r="J86" s="14" t="n">
        <f aca="false">Invoices!F86</f>
        <v>505.69</v>
      </c>
      <c r="K86" s="14" t="n">
        <f aca="false">Invoices!G86</f>
        <v>4395.62</v>
      </c>
      <c r="L86" s="15" t="n">
        <f aca="false">IFERROR(H86+INDEX(Vendors!$H$2:$H$11,MATCH(C86,Vendors!$A$2:$A$11,0)),H86+30)</f>
        <v>46265</v>
      </c>
      <c r="M86" s="16" t="n">
        <f aca="false">IF(COUNTIF($A$2:A86,A86)&gt;1,1,0)</f>
        <v>0</v>
      </c>
      <c r="N86" s="14" t="str">
        <f aca="false">IF(E86="","",SUMIFS($I$2:$I$97,$E$2:$E$97,E86,$M$2:$M$97,0))</f>
        <v/>
      </c>
      <c r="O86" s="16" t="n">
        <f aca="false">IF(C86="UNKNOWN",1,0)</f>
        <v>0</v>
      </c>
      <c r="P86" s="16" t="n">
        <f aca="false">IF(E86="",1,0)</f>
        <v>1</v>
      </c>
      <c r="Q86" s="16" t="n">
        <f aca="false">IF(F86="NOT FOUND",1,0)</f>
        <v>0</v>
      </c>
      <c r="R86" s="16" t="n">
        <f aca="false">IF(AND(F86&lt;&gt;"",F86&lt;&gt;"NOT FOUND",F86&lt;&gt;C86),1,0)</f>
        <v>0</v>
      </c>
      <c r="S86" s="16" t="n">
        <f aca="false">IF(AND(M86=0,ISNUMBER(G86),N86&gt;G86),1,0)</f>
        <v>0</v>
      </c>
      <c r="T86" s="16" t="n">
        <f aca="false">IF(ABS(I86+J86-K86)&gt;0.01,1,0)</f>
        <v>0</v>
      </c>
      <c r="U86" s="16" t="n">
        <f aca="false">IFERROR(IF(ABS(J86-ROUND(I86*INDEX(Vendors!$G$2:$G$11,MATCH(C86,Vendors!$A$2:$A$11,0)),2))&gt;0.01,1,0),0)</f>
        <v>0</v>
      </c>
      <c r="V86" s="16" t="n">
        <f aca="false">IF(D86="Inactive",1,0)</f>
        <v>0</v>
      </c>
      <c r="W86" s="14" t="n">
        <f aca="false">SUMIFS(Payments!$D$2:$D$69,Payments!$F$2:$F$69,A86)</f>
        <v>4395.62</v>
      </c>
      <c r="X86" s="16" t="n">
        <f aca="false">IF(AND(M86=0,W86&gt;0,ABS(W86-K86)&gt;0.01),1,0)</f>
        <v>0</v>
      </c>
      <c r="Y86" s="16" t="n">
        <f aca="false">IF(AND(M86=0,W86=0,L86&lt;About!$B$3),1,0)</f>
        <v>0</v>
      </c>
      <c r="Z86" s="16" t="n">
        <f aca="false">M86+SUM(O86:V86)+X86+Y86</f>
        <v>1</v>
      </c>
    </row>
    <row r="87" customFormat="false" ht="15" hidden="false" customHeight="false" outlineLevel="0" collapsed="false">
      <c r="A87" s="2" t="str">
        <f aca="false">Invoices!A87</f>
        <v>INV-10093</v>
      </c>
      <c r="B87" s="2" t="str">
        <f aca="false">Invoices!B87</f>
        <v>Cedarline Paper</v>
      </c>
      <c r="C87" s="2" t="str">
        <f aca="false">IFERROR(INDEX(Vendor_Aliases!$B$2:$B$25,MATCH(UPPER(TRIM(B87)),Vendor_Aliases!$A$2:$A$25,0)),"UNKNOWN")</f>
        <v>V006</v>
      </c>
      <c r="D87" s="2" t="str">
        <f aca="false">IFERROR(INDEX(Vendors!$E$2:$E$11,MATCH(C87,Vendors!$A$2:$A$11,0)),"")</f>
        <v>Active</v>
      </c>
      <c r="E87" s="2" t="str">
        <f aca="false">IF(Invoices!C87="","",Invoices!C87)</f>
        <v>PO-4561</v>
      </c>
      <c r="F87" s="2" t="str">
        <f aca="false">IF(E87="","",IFERROR(INDEX(POs!$B$2:$B$61,MATCH(E87,POs!$A$2:$A$61,0)),"NOT FOUND"))</f>
        <v>V006</v>
      </c>
      <c r="G87" s="14" t="n">
        <f aca="false">IF(E87="","",IFERROR(INDEX(POs!$E$2:$E$61,MATCH(E87,POs!$A$2:$A$61,0)),""))</f>
        <v>19100</v>
      </c>
      <c r="H87" s="15" t="n">
        <f aca="false">Invoices!D87</f>
        <v>46188</v>
      </c>
      <c r="I87" s="14" t="n">
        <f aca="false">Invoices!E87</f>
        <v>17663.25</v>
      </c>
      <c r="J87" s="14" t="n">
        <f aca="false">Invoices!F87</f>
        <v>2296.22</v>
      </c>
      <c r="K87" s="14" t="n">
        <f aca="false">Invoices!G87</f>
        <v>19959.47</v>
      </c>
      <c r="L87" s="15" t="n">
        <f aca="false">IFERROR(H87+INDEX(Vendors!$H$2:$H$11,MATCH(C87,Vendors!$A$2:$A$11,0)),H87+30)</f>
        <v>46233</v>
      </c>
      <c r="M87" s="16" t="n">
        <f aca="false">IF(COUNTIF($A$2:A87,A87)&gt;1,1,0)</f>
        <v>0</v>
      </c>
      <c r="N87" s="14" t="n">
        <f aca="false">IF(E87="","",SUMIFS($I$2:$I$97,$E$2:$E$97,E87,$M$2:$M$97,0))</f>
        <v>17663.25</v>
      </c>
      <c r="O87" s="16" t="n">
        <f aca="false">IF(C87="UNKNOWN",1,0)</f>
        <v>0</v>
      </c>
      <c r="P87" s="16" t="n">
        <f aca="false">IF(E87="",1,0)</f>
        <v>0</v>
      </c>
      <c r="Q87" s="16" t="n">
        <f aca="false">IF(F87="NOT FOUND",1,0)</f>
        <v>0</v>
      </c>
      <c r="R87" s="16" t="n">
        <f aca="false">IF(AND(F87&lt;&gt;"",F87&lt;&gt;"NOT FOUND",F87&lt;&gt;C87),1,0)</f>
        <v>0</v>
      </c>
      <c r="S87" s="16" t="n">
        <f aca="false">IF(AND(M87=0,ISNUMBER(G87),N87&gt;G87),1,0)</f>
        <v>0</v>
      </c>
      <c r="T87" s="16" t="n">
        <f aca="false">IF(ABS(I87+J87-K87)&gt;0.01,1,0)</f>
        <v>0</v>
      </c>
      <c r="U87" s="16" t="n">
        <f aca="false">IFERROR(IF(ABS(J87-ROUND(I87*INDEX(Vendors!$G$2:$G$11,MATCH(C87,Vendors!$A$2:$A$11,0)),2))&gt;0.01,1,0),0)</f>
        <v>0</v>
      </c>
      <c r="V87" s="16" t="n">
        <f aca="false">IF(D87="Inactive",1,0)</f>
        <v>0</v>
      </c>
      <c r="W87" s="14" t="n">
        <f aca="false">SUMIFS(Payments!$D$2:$D$69,Payments!$F$2:$F$69,A87)</f>
        <v>19959.47</v>
      </c>
      <c r="X87" s="16" t="n">
        <f aca="false">IF(AND(M87=0,W87&gt;0,ABS(W87-K87)&gt;0.01),1,0)</f>
        <v>0</v>
      </c>
      <c r="Y87" s="16" t="n">
        <f aca="false">IF(AND(M87=0,W87=0,L87&lt;About!$B$3),1,0)</f>
        <v>0</v>
      </c>
      <c r="Z87" s="16" t="n">
        <f aca="false">M87+SUM(O87:V87)+X87+Y87</f>
        <v>0</v>
      </c>
    </row>
    <row r="88" customFormat="false" ht="15" hidden="false" customHeight="false" outlineLevel="0" collapsed="false">
      <c r="A88" s="2" t="str">
        <f aca="false">Invoices!A88</f>
        <v>INV-10155</v>
      </c>
      <c r="B88" s="2" t="str">
        <f aca="false">Invoices!B88</f>
        <v>Harbourview Postage</v>
      </c>
      <c r="C88" s="2" t="str">
        <f aca="false">IFERROR(INDEX(Vendor_Aliases!$B$2:$B$25,MATCH(UPPER(TRIM(B88)),Vendor_Aliases!$A$2:$A$25,0)),"UNKNOWN")</f>
        <v>V005</v>
      </c>
      <c r="D88" s="2" t="str">
        <f aca="false">IFERROR(INDEX(Vendors!$E$2:$E$11,MATCH(C88,Vendors!$A$2:$A$11,0)),"")</f>
        <v>Active</v>
      </c>
      <c r="E88" s="2" t="str">
        <f aca="false">IF(Invoices!C88="","",Invoices!C88)</f>
        <v>PO-4612</v>
      </c>
      <c r="F88" s="2" t="str">
        <f aca="false">IF(E88="","",IFERROR(INDEX(POs!$B$2:$B$61,MATCH(E88,POs!$A$2:$A$61,0)),"NOT FOUND"))</f>
        <v>V005</v>
      </c>
      <c r="G88" s="14" t="n">
        <f aca="false">IF(E88="","",IFERROR(INDEX(POs!$E$2:$E$61,MATCH(E88,POs!$A$2:$A$61,0)),""))</f>
        <v>18300</v>
      </c>
      <c r="H88" s="15" t="n">
        <f aca="false">Invoices!D88</f>
        <v>46044</v>
      </c>
      <c r="I88" s="14" t="n">
        <f aca="false">Invoices!E88</f>
        <v>6232.4</v>
      </c>
      <c r="J88" s="14" t="n">
        <f aca="false">Invoices!F88</f>
        <v>810.21</v>
      </c>
      <c r="K88" s="14" t="n">
        <f aca="false">Invoices!G88</f>
        <v>7042.61</v>
      </c>
      <c r="L88" s="15" t="n">
        <f aca="false">IFERROR(H88+INDEX(Vendors!$H$2:$H$11,MATCH(C88,Vendors!$A$2:$A$11,0)),H88+30)</f>
        <v>46059</v>
      </c>
      <c r="M88" s="16" t="n">
        <f aca="false">IF(COUNTIF($A$2:A88,A88)&gt;1,1,0)</f>
        <v>0</v>
      </c>
      <c r="N88" s="14" t="n">
        <f aca="false">IF(E88="","",SUMIFS($I$2:$I$97,$E$2:$E$97,E88,$M$2:$M$97,0))</f>
        <v>14908.12</v>
      </c>
      <c r="O88" s="16" t="n">
        <f aca="false">IF(C88="UNKNOWN",1,0)</f>
        <v>0</v>
      </c>
      <c r="P88" s="16" t="n">
        <f aca="false">IF(E88="",1,0)</f>
        <v>0</v>
      </c>
      <c r="Q88" s="16" t="n">
        <f aca="false">IF(F88="NOT FOUND",1,0)</f>
        <v>0</v>
      </c>
      <c r="R88" s="16" t="n">
        <f aca="false">IF(AND(F88&lt;&gt;"",F88&lt;&gt;"NOT FOUND",F88&lt;&gt;C88),1,0)</f>
        <v>0</v>
      </c>
      <c r="S88" s="16" t="n">
        <f aca="false">IF(AND(M88=0,ISNUMBER(G88),N88&gt;G88),1,0)</f>
        <v>0</v>
      </c>
      <c r="T88" s="16" t="n">
        <f aca="false">IF(ABS(I88+J88-K88)&gt;0.01,1,0)</f>
        <v>0</v>
      </c>
      <c r="U88" s="16" t="n">
        <f aca="false">IFERROR(IF(ABS(J88-ROUND(I88*INDEX(Vendors!$G$2:$G$11,MATCH(C88,Vendors!$A$2:$A$11,0)),2))&gt;0.01,1,0),0)</f>
        <v>0</v>
      </c>
      <c r="V88" s="16" t="n">
        <f aca="false">IF(D88="Inactive",1,0)</f>
        <v>0</v>
      </c>
      <c r="W88" s="14" t="n">
        <f aca="false">SUMIFS(Payments!$D$2:$D$69,Payments!$F$2:$F$69,A88)</f>
        <v>7042.61</v>
      </c>
      <c r="X88" s="16" t="n">
        <f aca="false">IF(AND(M88=0,W88&gt;0,ABS(W88-K88)&gt;0.01),1,0)</f>
        <v>0</v>
      </c>
      <c r="Y88" s="16" t="n">
        <f aca="false">IF(AND(M88=0,W88=0,L88&lt;About!$B$3),1,0)</f>
        <v>0</v>
      </c>
      <c r="Z88" s="16" t="n">
        <f aca="false">M88+SUM(O88:V88)+X88+Y88</f>
        <v>0</v>
      </c>
    </row>
    <row r="89" customFormat="false" ht="15" hidden="false" customHeight="false" outlineLevel="0" collapsed="false">
      <c r="A89" s="2" t="str">
        <f aca="false">Invoices!A89</f>
        <v>INV-10190</v>
      </c>
      <c r="B89" s="2" t="str">
        <f aca="false">Invoices!B89</f>
        <v>Apex Print Partners</v>
      </c>
      <c r="C89" s="2" t="str">
        <f aca="false">IFERROR(INDEX(Vendor_Aliases!$B$2:$B$25,MATCH(UPPER(TRIM(B89)),Vendor_Aliases!$A$2:$A$25,0)),"UNKNOWN")</f>
        <v>UNKNOWN</v>
      </c>
      <c r="D89" s="2" t="str">
        <f aca="false">IFERROR(INDEX(Vendors!$E$2:$E$11,MATCH(C89,Vendors!$A$2:$A$11,0)),"")</f>
        <v/>
      </c>
      <c r="E89" s="2" t="str">
        <f aca="false">IF(Invoices!C89="","",Invoices!C89)</f>
        <v/>
      </c>
      <c r="F89" s="2" t="str">
        <f aca="false">IF(E89="","",IFERROR(INDEX(POs!$B$2:$B$61,MATCH(E89,POs!$A$2:$A$61,0)),"NOT FOUND"))</f>
        <v/>
      </c>
      <c r="G89" s="14" t="str">
        <f aca="false">IF(E89="","",IFERROR(INDEX(POs!$E$2:$E$61,MATCH(E89,POs!$A$2:$A$61,0)),""))</f>
        <v/>
      </c>
      <c r="H89" s="15" t="n">
        <f aca="false">Invoices!D89</f>
        <v>46235</v>
      </c>
      <c r="I89" s="14" t="n">
        <f aca="false">Invoices!E89</f>
        <v>4142.05</v>
      </c>
      <c r="J89" s="14" t="n">
        <f aca="false">Invoices!F89</f>
        <v>538.47</v>
      </c>
      <c r="K89" s="14" t="n">
        <f aca="false">Invoices!G89</f>
        <v>4680.52</v>
      </c>
      <c r="L89" s="15" t="n">
        <f aca="false">IFERROR(H89+INDEX(Vendors!$H$2:$H$11,MATCH(C89,Vendors!$A$2:$A$11,0)),H89+30)</f>
        <v>46265</v>
      </c>
      <c r="M89" s="16" t="n">
        <f aca="false">IF(COUNTIF($A$2:A89,A89)&gt;1,1,0)</f>
        <v>0</v>
      </c>
      <c r="N89" s="14" t="str">
        <f aca="false">IF(E89="","",SUMIFS($I$2:$I$97,$E$2:$E$97,E89,$M$2:$M$97,0))</f>
        <v/>
      </c>
      <c r="O89" s="16" t="n">
        <f aca="false">IF(C89="UNKNOWN",1,0)</f>
        <v>1</v>
      </c>
      <c r="P89" s="16" t="n">
        <f aca="false">IF(E89="",1,0)</f>
        <v>1</v>
      </c>
      <c r="Q89" s="16" t="n">
        <f aca="false">IF(F89="NOT FOUND",1,0)</f>
        <v>0</v>
      </c>
      <c r="R89" s="16" t="n">
        <f aca="false">IF(AND(F89&lt;&gt;"",F89&lt;&gt;"NOT FOUND",F89&lt;&gt;C89),1,0)</f>
        <v>0</v>
      </c>
      <c r="S89" s="16" t="n">
        <f aca="false">IF(AND(M89=0,ISNUMBER(G89),N89&gt;G89),1,0)</f>
        <v>0</v>
      </c>
      <c r="T89" s="16" t="n">
        <f aca="false">IF(ABS(I89+J89-K89)&gt;0.01,1,0)</f>
        <v>0</v>
      </c>
      <c r="U89" s="16" t="n">
        <f aca="false">IFERROR(IF(ABS(J89-ROUND(I89*INDEX(Vendors!$G$2:$G$11,MATCH(C89,Vendors!$A$2:$A$11,0)),2))&gt;0.01,1,0),0)</f>
        <v>0</v>
      </c>
      <c r="V89" s="16" t="n">
        <f aca="false">IF(D89="Inactive",1,0)</f>
        <v>0</v>
      </c>
      <c r="W89" s="14" t="n">
        <f aca="false">SUMIFS(Payments!$D$2:$D$69,Payments!$F$2:$F$69,A89)</f>
        <v>0</v>
      </c>
      <c r="X89" s="16" t="n">
        <f aca="false">IF(AND(M89=0,W89&gt;0,ABS(W89-K89)&gt;0.01),1,0)</f>
        <v>0</v>
      </c>
      <c r="Y89" s="16" t="n">
        <f aca="false">IF(AND(M89=0,W89=0,L89&lt;About!$B$3),1,0)</f>
        <v>1</v>
      </c>
      <c r="Z89" s="16" t="n">
        <f aca="false">M89+SUM(O89:V89)+X89+Y89</f>
        <v>3</v>
      </c>
    </row>
    <row r="90" customFormat="false" ht="15" hidden="false" customHeight="false" outlineLevel="0" collapsed="false">
      <c r="A90" s="2" t="str">
        <f aca="false">Invoices!A90</f>
        <v>INV-10031</v>
      </c>
      <c r="B90" s="2" t="str">
        <f aca="false">Invoices!B90</f>
        <v>MAPLE MAILING SOLUTIONS </v>
      </c>
      <c r="C90" s="2" t="str">
        <f aca="false">IFERROR(INDEX(Vendor_Aliases!$B$2:$B$25,MATCH(UPPER(TRIM(B90)),Vendor_Aliases!$A$2:$A$25,0)),"UNKNOWN")</f>
        <v>V002</v>
      </c>
      <c r="D90" s="2" t="str">
        <f aca="false">IFERROR(INDEX(Vendors!$E$2:$E$11,MATCH(C90,Vendors!$A$2:$A$11,0)),"")</f>
        <v>Active</v>
      </c>
      <c r="E90" s="2" t="str">
        <f aca="false">IF(Invoices!C90="","",Invoices!C90)</f>
        <v/>
      </c>
      <c r="F90" s="2" t="str">
        <f aca="false">IF(E90="","",IFERROR(INDEX(POs!$B$2:$B$61,MATCH(E90,POs!$A$2:$A$61,0)),"NOT FOUND"))</f>
        <v/>
      </c>
      <c r="G90" s="14" t="str">
        <f aca="false">IF(E90="","",IFERROR(INDEX(POs!$E$2:$E$61,MATCH(E90,POs!$A$2:$A$61,0)),""))</f>
        <v/>
      </c>
      <c r="H90" s="15" t="n">
        <f aca="false">Invoices!D90</f>
        <v>46124</v>
      </c>
      <c r="I90" s="14" t="n">
        <f aca="false">Invoices!E90</f>
        <v>2886.23</v>
      </c>
      <c r="J90" s="14" t="n">
        <f aca="false">Invoices!F90</f>
        <v>375.21</v>
      </c>
      <c r="K90" s="14" t="n">
        <f aca="false">Invoices!G90</f>
        <v>3261.44</v>
      </c>
      <c r="L90" s="15" t="n">
        <f aca="false">IFERROR(H90+INDEX(Vendors!$H$2:$H$11,MATCH(C90,Vendors!$A$2:$A$11,0)),H90+30)</f>
        <v>46154</v>
      </c>
      <c r="M90" s="16" t="n">
        <f aca="false">IF(COUNTIF($A$2:A90,A90)&gt;1,1,0)</f>
        <v>0</v>
      </c>
      <c r="N90" s="14" t="str">
        <f aca="false">IF(E90="","",SUMIFS($I$2:$I$97,$E$2:$E$97,E90,$M$2:$M$97,0))</f>
        <v/>
      </c>
      <c r="O90" s="16" t="n">
        <f aca="false">IF(C90="UNKNOWN",1,0)</f>
        <v>0</v>
      </c>
      <c r="P90" s="16" t="n">
        <f aca="false">IF(E90="",1,0)</f>
        <v>1</v>
      </c>
      <c r="Q90" s="16" t="n">
        <f aca="false">IF(F90="NOT FOUND",1,0)</f>
        <v>0</v>
      </c>
      <c r="R90" s="16" t="n">
        <f aca="false">IF(AND(F90&lt;&gt;"",F90&lt;&gt;"NOT FOUND",F90&lt;&gt;C90),1,0)</f>
        <v>0</v>
      </c>
      <c r="S90" s="16" t="n">
        <f aca="false">IF(AND(M90=0,ISNUMBER(G90),N90&gt;G90),1,0)</f>
        <v>0</v>
      </c>
      <c r="T90" s="16" t="n">
        <f aca="false">IF(ABS(I90+J90-K90)&gt;0.01,1,0)</f>
        <v>0</v>
      </c>
      <c r="U90" s="16" t="n">
        <f aca="false">IFERROR(IF(ABS(J90-ROUND(I90*INDEX(Vendors!$G$2:$G$11,MATCH(C90,Vendors!$A$2:$A$11,0)),2))&gt;0.01,1,0),0)</f>
        <v>0</v>
      </c>
      <c r="V90" s="16" t="n">
        <f aca="false">IF(D90="Inactive",1,0)</f>
        <v>0</v>
      </c>
      <c r="W90" s="14" t="n">
        <f aca="false">SUMIFS(Payments!$D$2:$D$69,Payments!$F$2:$F$69,A90)</f>
        <v>3261.44</v>
      </c>
      <c r="X90" s="16" t="n">
        <f aca="false">IF(AND(M90=0,W90&gt;0,ABS(W90-K90)&gt;0.01),1,0)</f>
        <v>0</v>
      </c>
      <c r="Y90" s="16" t="n">
        <f aca="false">IF(AND(M90=0,W90=0,L90&lt;About!$B$3),1,0)</f>
        <v>0</v>
      </c>
      <c r="Z90" s="16" t="n">
        <f aca="false">M90+SUM(O90:V90)+X90+Y90</f>
        <v>1</v>
      </c>
    </row>
    <row r="91" customFormat="false" ht="15" hidden="false" customHeight="false" outlineLevel="0" collapsed="false">
      <c r="A91" s="2" t="str">
        <f aca="false">Invoices!A91</f>
        <v>INV-10119</v>
      </c>
      <c r="B91" s="2" t="str">
        <f aca="false">Invoices!B91</f>
        <v>Northbridge Print Services</v>
      </c>
      <c r="C91" s="2" t="str">
        <f aca="false">IFERROR(INDEX(Vendor_Aliases!$B$2:$B$25,MATCH(UPPER(TRIM(B91)),Vendor_Aliases!$A$2:$A$25,0)),"UNKNOWN")</f>
        <v>V001</v>
      </c>
      <c r="D91" s="2" t="str">
        <f aca="false">IFERROR(INDEX(Vendors!$E$2:$E$11,MATCH(C91,Vendors!$A$2:$A$11,0)),"")</f>
        <v>Active</v>
      </c>
      <c r="E91" s="2" t="str">
        <f aca="false">IF(Invoices!C91="","",Invoices!C91)</f>
        <v>PO-4592</v>
      </c>
      <c r="F91" s="2" t="str">
        <f aca="false">IF(E91="","",IFERROR(INDEX(POs!$B$2:$B$61,MATCH(E91,POs!$A$2:$A$61,0)),"NOT FOUND"))</f>
        <v>V001</v>
      </c>
      <c r="G91" s="14" t="n">
        <f aca="false">IF(E91="","",IFERROR(INDEX(POs!$E$2:$E$61,MATCH(E91,POs!$A$2:$A$61,0)),""))</f>
        <v>3450</v>
      </c>
      <c r="H91" s="15" t="n">
        <f aca="false">Invoices!D91</f>
        <v>46179</v>
      </c>
      <c r="I91" s="14" t="n">
        <f aca="false">Invoices!E91</f>
        <v>1307.7</v>
      </c>
      <c r="J91" s="14" t="n">
        <f aca="false">Invoices!F91</f>
        <v>170</v>
      </c>
      <c r="K91" s="14" t="n">
        <f aca="false">Invoices!G91</f>
        <v>1477.7</v>
      </c>
      <c r="L91" s="15" t="n">
        <f aca="false">IFERROR(H91+INDEX(Vendors!$H$2:$H$11,MATCH(C91,Vendors!$A$2:$A$11,0)),H91+30)</f>
        <v>46209</v>
      </c>
      <c r="M91" s="16" t="n">
        <f aca="false">IF(COUNTIF($A$2:A91,A91)&gt;1,1,0)</f>
        <v>0</v>
      </c>
      <c r="N91" s="14" t="n">
        <f aca="false">IF(E91="","",SUMIFS($I$2:$I$97,$E$2:$E$97,E91,$M$2:$M$97,0))</f>
        <v>2821.85</v>
      </c>
      <c r="O91" s="16" t="n">
        <f aca="false">IF(C91="UNKNOWN",1,0)</f>
        <v>0</v>
      </c>
      <c r="P91" s="16" t="n">
        <f aca="false">IF(E91="",1,0)</f>
        <v>0</v>
      </c>
      <c r="Q91" s="16" t="n">
        <f aca="false">IF(F91="NOT FOUND",1,0)</f>
        <v>0</v>
      </c>
      <c r="R91" s="16" t="n">
        <f aca="false">IF(AND(F91&lt;&gt;"",F91&lt;&gt;"NOT FOUND",F91&lt;&gt;C91),1,0)</f>
        <v>0</v>
      </c>
      <c r="S91" s="16" t="n">
        <f aca="false">IF(AND(M91=0,ISNUMBER(G91),N91&gt;G91),1,0)</f>
        <v>0</v>
      </c>
      <c r="T91" s="16" t="n">
        <f aca="false">IF(ABS(I91+J91-K91)&gt;0.01,1,0)</f>
        <v>0</v>
      </c>
      <c r="U91" s="16" t="n">
        <f aca="false">IFERROR(IF(ABS(J91-ROUND(I91*INDEX(Vendors!$G$2:$G$11,MATCH(C91,Vendors!$A$2:$A$11,0)),2))&gt;0.01,1,0),0)</f>
        <v>0</v>
      </c>
      <c r="V91" s="16" t="n">
        <f aca="false">IF(D91="Inactive",1,0)</f>
        <v>0</v>
      </c>
      <c r="W91" s="14" t="n">
        <f aca="false">SUMIFS(Payments!$D$2:$D$69,Payments!$F$2:$F$69,A91)</f>
        <v>1477.7</v>
      </c>
      <c r="X91" s="16" t="n">
        <f aca="false">IF(AND(M91=0,W91&gt;0,ABS(W91-K91)&gt;0.01),1,0)</f>
        <v>0</v>
      </c>
      <c r="Y91" s="16" t="n">
        <f aca="false">IF(AND(M91=0,W91=0,L91&lt;About!$B$3),1,0)</f>
        <v>0</v>
      </c>
      <c r="Z91" s="16" t="n">
        <f aca="false">M91+SUM(O91:V91)+X91+Y91</f>
        <v>0</v>
      </c>
    </row>
    <row r="92" customFormat="false" ht="15" hidden="false" customHeight="false" outlineLevel="0" collapsed="false">
      <c r="A92" s="2" t="str">
        <f aca="false">Invoices!A92</f>
        <v>INV-10048</v>
      </c>
      <c r="B92" s="2" t="str">
        <f aca="false">Invoices!B92</f>
        <v>ClearPath Fulfillment</v>
      </c>
      <c r="C92" s="2" t="str">
        <f aca="false">IFERROR(INDEX(Vendor_Aliases!$B$2:$B$25,MATCH(UPPER(TRIM(B92)),Vendor_Aliases!$A$2:$A$25,0)),"UNKNOWN")</f>
        <v>V008</v>
      </c>
      <c r="D92" s="2" t="str">
        <f aca="false">IFERROR(INDEX(Vendors!$E$2:$E$11,MATCH(C92,Vendors!$A$2:$A$11,0)),"")</f>
        <v>Active</v>
      </c>
      <c r="E92" s="2" t="str">
        <f aca="false">IF(Invoices!C92="","",Invoices!C92)</f>
        <v>PO-4535</v>
      </c>
      <c r="F92" s="2" t="str">
        <f aca="false">IF(E92="","",IFERROR(INDEX(POs!$B$2:$B$61,MATCH(E92,POs!$A$2:$A$61,0)),"NOT FOUND"))</f>
        <v>V008</v>
      </c>
      <c r="G92" s="14" t="n">
        <f aca="false">IF(E92="","",IFERROR(INDEX(POs!$E$2:$E$61,MATCH(E92,POs!$A$2:$A$61,0)),""))</f>
        <v>15000</v>
      </c>
      <c r="H92" s="15" t="n">
        <f aca="false">Invoices!D92</f>
        <v>46159</v>
      </c>
      <c r="I92" s="14" t="n">
        <f aca="false">Invoices!E92</f>
        <v>14151.91</v>
      </c>
      <c r="J92" s="14" t="n">
        <f aca="false">Invoices!F92</f>
        <v>1839.75</v>
      </c>
      <c r="K92" s="14" t="n">
        <f aca="false">Invoices!G92</f>
        <v>15991.66</v>
      </c>
      <c r="L92" s="15" t="n">
        <f aca="false">IFERROR(H92+INDEX(Vendors!$H$2:$H$11,MATCH(C92,Vendors!$A$2:$A$11,0)),H92+30)</f>
        <v>46189</v>
      </c>
      <c r="M92" s="16" t="n">
        <f aca="false">IF(COUNTIF($A$2:A92,A92)&gt;1,1,0)</f>
        <v>0</v>
      </c>
      <c r="N92" s="14" t="n">
        <f aca="false">IF(E92="","",SUMIFS($I$2:$I$97,$E$2:$E$97,E92,$M$2:$M$97,0))</f>
        <v>14151.91</v>
      </c>
      <c r="O92" s="16" t="n">
        <f aca="false">IF(C92="UNKNOWN",1,0)</f>
        <v>0</v>
      </c>
      <c r="P92" s="16" t="n">
        <f aca="false">IF(E92="",1,0)</f>
        <v>0</v>
      </c>
      <c r="Q92" s="16" t="n">
        <f aca="false">IF(F92="NOT FOUND",1,0)</f>
        <v>0</v>
      </c>
      <c r="R92" s="16" t="n">
        <f aca="false">IF(AND(F92&lt;&gt;"",F92&lt;&gt;"NOT FOUND",F92&lt;&gt;C92),1,0)</f>
        <v>0</v>
      </c>
      <c r="S92" s="16" t="n">
        <f aca="false">IF(AND(M92=0,ISNUMBER(G92),N92&gt;G92),1,0)</f>
        <v>0</v>
      </c>
      <c r="T92" s="16" t="n">
        <f aca="false">IF(ABS(I92+J92-K92)&gt;0.01,1,0)</f>
        <v>0</v>
      </c>
      <c r="U92" s="16" t="n">
        <f aca="false">IFERROR(IF(ABS(J92-ROUND(I92*INDEX(Vendors!$G$2:$G$11,MATCH(C92,Vendors!$A$2:$A$11,0)),2))&gt;0.01,1,0),0)</f>
        <v>0</v>
      </c>
      <c r="V92" s="16" t="n">
        <f aca="false">IF(D92="Inactive",1,0)</f>
        <v>0</v>
      </c>
      <c r="W92" s="14" t="n">
        <f aca="false">SUMIFS(Payments!$D$2:$D$69,Payments!$F$2:$F$69,A92)</f>
        <v>15991.66</v>
      </c>
      <c r="X92" s="16" t="n">
        <f aca="false">IF(AND(M92=0,W92&gt;0,ABS(W92-K92)&gt;0.01),1,0)</f>
        <v>0</v>
      </c>
      <c r="Y92" s="16" t="n">
        <f aca="false">IF(AND(M92=0,W92=0,L92&lt;About!$B$3),1,0)</f>
        <v>0</v>
      </c>
      <c r="Z92" s="16" t="n">
        <f aca="false">M92+SUM(O92:V92)+X92+Y92</f>
        <v>0</v>
      </c>
    </row>
    <row r="93" customFormat="false" ht="15" hidden="false" customHeight="false" outlineLevel="0" collapsed="false">
      <c r="A93" s="2" t="str">
        <f aca="false">Invoices!A93</f>
        <v>INV-10178</v>
      </c>
      <c r="B93" s="2" t="str">
        <f aca="false">Invoices!B93</f>
        <v>CEDARLINE PAPER SUPPLY</v>
      </c>
      <c r="C93" s="2" t="str">
        <f aca="false">IFERROR(INDEX(Vendor_Aliases!$B$2:$B$25,MATCH(UPPER(TRIM(B93)),Vendor_Aliases!$A$2:$A$25,0)),"UNKNOWN")</f>
        <v>V006</v>
      </c>
      <c r="D93" s="2" t="str">
        <f aca="false">IFERROR(INDEX(Vendors!$E$2:$E$11,MATCH(C93,Vendors!$A$2:$A$11,0)),"")</f>
        <v>Active</v>
      </c>
      <c r="E93" s="2" t="str">
        <f aca="false">IF(Invoices!C93="","",Invoices!C93)</f>
        <v>PO-4629</v>
      </c>
      <c r="F93" s="2" t="str">
        <f aca="false">IF(E93="","",IFERROR(INDEX(POs!$B$2:$B$61,MATCH(E93,POs!$A$2:$A$61,0)),"NOT FOUND"))</f>
        <v>V006</v>
      </c>
      <c r="G93" s="14" t="n">
        <f aca="false">IF(E93="","",IFERROR(INDEX(POs!$E$2:$E$61,MATCH(E93,POs!$A$2:$A$61,0)),""))</f>
        <v>6050</v>
      </c>
      <c r="H93" s="15" t="n">
        <f aca="false">Invoices!D93</f>
        <v>46243</v>
      </c>
      <c r="I93" s="14" t="n">
        <f aca="false">Invoices!E93</f>
        <v>2152.88</v>
      </c>
      <c r="J93" s="14" t="n">
        <f aca="false">Invoices!F93</f>
        <v>279.87</v>
      </c>
      <c r="K93" s="14" t="n">
        <f aca="false">Invoices!G93</f>
        <v>2432.75</v>
      </c>
      <c r="L93" s="15" t="n">
        <f aca="false">IFERROR(H93+INDEX(Vendors!$H$2:$H$11,MATCH(C93,Vendors!$A$2:$A$11,0)),H93+30)</f>
        <v>46288</v>
      </c>
      <c r="M93" s="16" t="n">
        <f aca="false">IF(COUNTIF($A$2:A93,A93)&gt;1,1,0)</f>
        <v>0</v>
      </c>
      <c r="N93" s="14" t="n">
        <f aca="false">IF(E93="","",SUMIFS($I$2:$I$97,$E$2:$E$97,E93,$M$2:$M$97,0))</f>
        <v>4929.19</v>
      </c>
      <c r="O93" s="16" t="n">
        <f aca="false">IF(C93="UNKNOWN",1,0)</f>
        <v>0</v>
      </c>
      <c r="P93" s="16" t="n">
        <f aca="false">IF(E93="",1,0)</f>
        <v>0</v>
      </c>
      <c r="Q93" s="16" t="n">
        <f aca="false">IF(F93="NOT FOUND",1,0)</f>
        <v>0</v>
      </c>
      <c r="R93" s="16" t="n">
        <f aca="false">IF(AND(F93&lt;&gt;"",F93&lt;&gt;"NOT FOUND",F93&lt;&gt;C93),1,0)</f>
        <v>0</v>
      </c>
      <c r="S93" s="16" t="n">
        <f aca="false">IF(AND(M93=0,ISNUMBER(G93),N93&gt;G93),1,0)</f>
        <v>0</v>
      </c>
      <c r="T93" s="16" t="n">
        <f aca="false">IF(ABS(I93+J93-K93)&gt;0.01,1,0)</f>
        <v>0</v>
      </c>
      <c r="U93" s="16" t="n">
        <f aca="false">IFERROR(IF(ABS(J93-ROUND(I93*INDEX(Vendors!$G$2:$G$11,MATCH(C93,Vendors!$A$2:$A$11,0)),2))&gt;0.01,1,0),0)</f>
        <v>0</v>
      </c>
      <c r="V93" s="16" t="n">
        <f aca="false">IF(D93="Inactive",1,0)</f>
        <v>0</v>
      </c>
      <c r="W93" s="14" t="n">
        <f aca="false">SUMIFS(Payments!$D$2:$D$69,Payments!$F$2:$F$69,A93)</f>
        <v>2432.75</v>
      </c>
      <c r="X93" s="16" t="n">
        <f aca="false">IF(AND(M93=0,W93&gt;0,ABS(W93-K93)&gt;0.01),1,0)</f>
        <v>0</v>
      </c>
      <c r="Y93" s="16" t="n">
        <f aca="false">IF(AND(M93=0,W93=0,L93&lt;About!$B$3),1,0)</f>
        <v>0</v>
      </c>
      <c r="Z93" s="16" t="n">
        <f aca="false">M93+SUM(O93:V93)+X93+Y93</f>
        <v>0</v>
      </c>
    </row>
    <row r="94" customFormat="false" ht="15" hidden="false" customHeight="false" outlineLevel="0" collapsed="false">
      <c r="A94" s="2" t="str">
        <f aca="false">Invoices!A94</f>
        <v>INV-10142</v>
      </c>
      <c r="B94" s="2" t="str">
        <f aca="false">Invoices!B94</f>
        <v>Northbridge Print Services Inc </v>
      </c>
      <c r="C94" s="2" t="str">
        <f aca="false">IFERROR(INDEX(Vendor_Aliases!$B$2:$B$25,MATCH(UPPER(TRIM(B94)),Vendor_Aliases!$A$2:$A$25,0)),"UNKNOWN")</f>
        <v>V001</v>
      </c>
      <c r="D94" s="2" t="str">
        <f aca="false">IFERROR(INDEX(Vendors!$E$2:$E$11,MATCH(C94,Vendors!$A$2:$A$11,0)),"")</f>
        <v>Active</v>
      </c>
      <c r="E94" s="2" t="str">
        <f aca="false">IF(Invoices!C94="","",Invoices!C94)</f>
        <v>PO-4605</v>
      </c>
      <c r="F94" s="2" t="str">
        <f aca="false">IF(E94="","",IFERROR(INDEX(POs!$B$2:$B$61,MATCH(E94,POs!$A$2:$A$61,0)),"NOT FOUND"))</f>
        <v>V001</v>
      </c>
      <c r="G94" s="14" t="n">
        <f aca="false">IF(E94="","",IFERROR(INDEX(POs!$E$2:$E$61,MATCH(E94,POs!$A$2:$A$61,0)),""))</f>
        <v>8750</v>
      </c>
      <c r="H94" s="15" t="n">
        <f aca="false">Invoices!D94</f>
        <v>46216</v>
      </c>
      <c r="I94" s="14" t="n">
        <f aca="false">Invoices!E94</f>
        <v>3407</v>
      </c>
      <c r="J94" s="14" t="n">
        <f aca="false">Invoices!F94</f>
        <v>442.91</v>
      </c>
      <c r="K94" s="14" t="n">
        <f aca="false">Invoices!G94</f>
        <v>3849.91</v>
      </c>
      <c r="L94" s="15" t="n">
        <f aca="false">IFERROR(H94+INDEX(Vendors!$H$2:$H$11,MATCH(C94,Vendors!$A$2:$A$11,0)),H94+30)</f>
        <v>46246</v>
      </c>
      <c r="M94" s="16" t="n">
        <f aca="false">IF(COUNTIF($A$2:A94,A94)&gt;1,1,0)</f>
        <v>0</v>
      </c>
      <c r="N94" s="14" t="n">
        <f aca="false">IF(E94="","",SUMIFS($I$2:$I$97,$E$2:$E$97,E94,$M$2:$M$97,0))</f>
        <v>7634.57</v>
      </c>
      <c r="O94" s="16" t="n">
        <f aca="false">IF(C94="UNKNOWN",1,0)</f>
        <v>0</v>
      </c>
      <c r="P94" s="16" t="n">
        <f aca="false">IF(E94="",1,0)</f>
        <v>0</v>
      </c>
      <c r="Q94" s="16" t="n">
        <f aca="false">IF(F94="NOT FOUND",1,0)</f>
        <v>0</v>
      </c>
      <c r="R94" s="16" t="n">
        <f aca="false">IF(AND(F94&lt;&gt;"",F94&lt;&gt;"NOT FOUND",F94&lt;&gt;C94),1,0)</f>
        <v>0</v>
      </c>
      <c r="S94" s="16" t="n">
        <f aca="false">IF(AND(M94=0,ISNUMBER(G94),N94&gt;G94),1,0)</f>
        <v>0</v>
      </c>
      <c r="T94" s="16" t="n">
        <f aca="false">IF(ABS(I94+J94-K94)&gt;0.01,1,0)</f>
        <v>0</v>
      </c>
      <c r="U94" s="16" t="n">
        <f aca="false">IFERROR(IF(ABS(J94-ROUND(I94*INDEX(Vendors!$G$2:$G$11,MATCH(C94,Vendors!$A$2:$A$11,0)),2))&gt;0.01,1,0),0)</f>
        <v>0</v>
      </c>
      <c r="V94" s="16" t="n">
        <f aca="false">IF(D94="Inactive",1,0)</f>
        <v>0</v>
      </c>
      <c r="W94" s="14" t="n">
        <f aca="false">SUMIFS(Payments!$D$2:$D$69,Payments!$F$2:$F$69,A94)</f>
        <v>0</v>
      </c>
      <c r="X94" s="16" t="n">
        <f aca="false">IF(AND(M94=0,W94&gt;0,ABS(W94-K94)&gt;0.01),1,0)</f>
        <v>0</v>
      </c>
      <c r="Y94" s="16" t="n">
        <f aca="false">IF(AND(M94=0,W94=0,L94&lt;About!$B$3),1,0)</f>
        <v>1</v>
      </c>
      <c r="Z94" s="16" t="n">
        <f aca="false">M94+SUM(O94:V94)+X94+Y94</f>
        <v>1</v>
      </c>
    </row>
    <row r="95" customFormat="false" ht="15" hidden="false" customHeight="false" outlineLevel="0" collapsed="false">
      <c r="A95" s="2" t="str">
        <f aca="false">Invoices!A95</f>
        <v>INV-10053</v>
      </c>
      <c r="B95" s="2" t="str">
        <f aca="false">Invoices!B95</f>
        <v>ClearPath Fulfillment</v>
      </c>
      <c r="C95" s="2" t="str">
        <f aca="false">IFERROR(INDEX(Vendor_Aliases!$B$2:$B$25,MATCH(UPPER(TRIM(B95)),Vendor_Aliases!$A$2:$A$25,0)),"UNKNOWN")</f>
        <v>V008</v>
      </c>
      <c r="D95" s="2" t="str">
        <f aca="false">IFERROR(INDEX(Vendors!$E$2:$E$11,MATCH(C95,Vendors!$A$2:$A$11,0)),"")</f>
        <v>Active</v>
      </c>
      <c r="E95" s="2" t="str">
        <f aca="false">IF(Invoices!C95="","",Invoices!C95)</f>
        <v>PO-4537</v>
      </c>
      <c r="F95" s="2" t="str">
        <f aca="false">IF(E95="","",IFERROR(INDEX(POs!$B$2:$B$61,MATCH(E95,POs!$A$2:$A$61,0)),"NOT FOUND"))</f>
        <v>V008</v>
      </c>
      <c r="G95" s="14" t="n">
        <f aca="false">IF(E95="","",IFERROR(INDEX(POs!$E$2:$E$61,MATCH(E95,POs!$A$2:$A$61,0)),""))</f>
        <v>15500</v>
      </c>
      <c r="H95" s="15" t="n">
        <f aca="false">Invoices!D95</f>
        <v>46140</v>
      </c>
      <c r="I95" s="14" t="n">
        <f aca="false">Invoices!E95</f>
        <v>7071.32</v>
      </c>
      <c r="J95" s="14" t="n">
        <f aca="false">Invoices!F95</f>
        <v>919.27</v>
      </c>
      <c r="K95" s="14" t="n">
        <f aca="false">Invoices!G95</f>
        <v>7990.59</v>
      </c>
      <c r="L95" s="15" t="n">
        <f aca="false">IFERROR(H95+INDEX(Vendors!$H$2:$H$11,MATCH(C95,Vendors!$A$2:$A$11,0)),H95+30)</f>
        <v>46170</v>
      </c>
      <c r="M95" s="16" t="n">
        <f aca="false">IF(COUNTIF($A$2:A95,A95)&gt;1,1,0)</f>
        <v>0</v>
      </c>
      <c r="N95" s="14" t="n">
        <f aca="false">IF(E95="","",SUMIFS($I$2:$I$97,$E$2:$E$97,E95,$M$2:$M$97,0))</f>
        <v>13089.1</v>
      </c>
      <c r="O95" s="16" t="n">
        <f aca="false">IF(C95="UNKNOWN",1,0)</f>
        <v>0</v>
      </c>
      <c r="P95" s="16" t="n">
        <f aca="false">IF(E95="",1,0)</f>
        <v>0</v>
      </c>
      <c r="Q95" s="16" t="n">
        <f aca="false">IF(F95="NOT FOUND",1,0)</f>
        <v>0</v>
      </c>
      <c r="R95" s="16" t="n">
        <f aca="false">IF(AND(F95&lt;&gt;"",F95&lt;&gt;"NOT FOUND",F95&lt;&gt;C95),1,0)</f>
        <v>0</v>
      </c>
      <c r="S95" s="16" t="n">
        <f aca="false">IF(AND(M95=0,ISNUMBER(G95),N95&gt;G95),1,0)</f>
        <v>0</v>
      </c>
      <c r="T95" s="16" t="n">
        <f aca="false">IF(ABS(I95+J95-K95)&gt;0.01,1,0)</f>
        <v>0</v>
      </c>
      <c r="U95" s="16" t="n">
        <f aca="false">IFERROR(IF(ABS(J95-ROUND(I95*INDEX(Vendors!$G$2:$G$11,MATCH(C95,Vendors!$A$2:$A$11,0)),2))&gt;0.01,1,0),0)</f>
        <v>0</v>
      </c>
      <c r="V95" s="16" t="n">
        <f aca="false">IF(D95="Inactive",1,0)</f>
        <v>0</v>
      </c>
      <c r="W95" s="14" t="n">
        <f aca="false">SUMIFS(Payments!$D$2:$D$69,Payments!$F$2:$F$69,A95)</f>
        <v>7990.59</v>
      </c>
      <c r="X95" s="16" t="n">
        <f aca="false">IF(AND(M95=0,W95&gt;0,ABS(W95-K95)&gt;0.01),1,0)</f>
        <v>0</v>
      </c>
      <c r="Y95" s="16" t="n">
        <f aca="false">IF(AND(M95=0,W95=0,L95&lt;About!$B$3),1,0)</f>
        <v>0</v>
      </c>
      <c r="Z95" s="16" t="n">
        <f aca="false">M95+SUM(O95:V95)+X95+Y95</f>
        <v>0</v>
      </c>
    </row>
    <row r="96" customFormat="false" ht="15" hidden="false" customHeight="false" outlineLevel="0" collapsed="false">
      <c r="A96" s="2" t="str">
        <f aca="false">Invoices!A96</f>
        <v>INV-10145</v>
      </c>
      <c r="B96" s="2" t="str">
        <f aca="false">Invoices!B96</f>
        <v>MAPLE MAILING SOLUTIONS </v>
      </c>
      <c r="C96" s="2" t="str">
        <f aca="false">IFERROR(INDEX(Vendor_Aliases!$B$2:$B$25,MATCH(UPPER(TRIM(B96)),Vendor_Aliases!$A$2:$A$25,0)),"UNKNOWN")</f>
        <v>V002</v>
      </c>
      <c r="D96" s="2" t="str">
        <f aca="false">IFERROR(INDEX(Vendors!$E$2:$E$11,MATCH(C96,Vendors!$A$2:$A$11,0)),"")</f>
        <v>Active</v>
      </c>
      <c r="E96" s="2" t="str">
        <f aca="false">IF(Invoices!C96="","",Invoices!C96)</f>
        <v>PO-4607</v>
      </c>
      <c r="F96" s="2" t="str">
        <f aca="false">IF(E96="","",IFERROR(INDEX(POs!$B$2:$B$61,MATCH(E96,POs!$A$2:$A$61,0)),"NOT FOUND"))</f>
        <v>V002</v>
      </c>
      <c r="G96" s="14" t="n">
        <f aca="false">IF(E96="","",IFERROR(INDEX(POs!$E$2:$E$61,MATCH(E96,POs!$A$2:$A$61,0)),""))</f>
        <v>10750</v>
      </c>
      <c r="H96" s="15" t="n">
        <f aca="false">Invoices!D96</f>
        <v>46125</v>
      </c>
      <c r="I96" s="14" t="n">
        <f aca="false">Invoices!E96</f>
        <v>10056.05</v>
      </c>
      <c r="J96" s="14" t="n">
        <f aca="false">Invoices!F96</f>
        <v>1307.29</v>
      </c>
      <c r="K96" s="14" t="n">
        <f aca="false">Invoices!G96</f>
        <v>11363.34</v>
      </c>
      <c r="L96" s="15" t="n">
        <f aca="false">IFERROR(H96+INDEX(Vendors!$H$2:$H$11,MATCH(C96,Vendors!$A$2:$A$11,0)),H96+30)</f>
        <v>46155</v>
      </c>
      <c r="M96" s="16" t="n">
        <f aca="false">IF(COUNTIF($A$2:A96,A96)&gt;1,1,0)</f>
        <v>0</v>
      </c>
      <c r="N96" s="14" t="n">
        <f aca="false">IF(E96="","",SUMIFS($I$2:$I$97,$E$2:$E$97,E96,$M$2:$M$97,0))</f>
        <v>10056.05</v>
      </c>
      <c r="O96" s="16" t="n">
        <f aca="false">IF(C96="UNKNOWN",1,0)</f>
        <v>0</v>
      </c>
      <c r="P96" s="16" t="n">
        <f aca="false">IF(E96="",1,0)</f>
        <v>0</v>
      </c>
      <c r="Q96" s="16" t="n">
        <f aca="false">IF(F96="NOT FOUND",1,0)</f>
        <v>0</v>
      </c>
      <c r="R96" s="16" t="n">
        <f aca="false">IF(AND(F96&lt;&gt;"",F96&lt;&gt;"NOT FOUND",F96&lt;&gt;C96),1,0)</f>
        <v>0</v>
      </c>
      <c r="S96" s="16" t="n">
        <f aca="false">IF(AND(M96=0,ISNUMBER(G96),N96&gt;G96),1,0)</f>
        <v>0</v>
      </c>
      <c r="T96" s="16" t="n">
        <f aca="false">IF(ABS(I96+J96-K96)&gt;0.01,1,0)</f>
        <v>0</v>
      </c>
      <c r="U96" s="16" t="n">
        <f aca="false">IFERROR(IF(ABS(J96-ROUND(I96*INDEX(Vendors!$G$2:$G$11,MATCH(C96,Vendors!$A$2:$A$11,0)),2))&gt;0.01,1,0),0)</f>
        <v>0</v>
      </c>
      <c r="V96" s="16" t="n">
        <f aca="false">IF(D96="Inactive",1,0)</f>
        <v>0</v>
      </c>
      <c r="W96" s="14" t="n">
        <f aca="false">SUMIFS(Payments!$D$2:$D$69,Payments!$F$2:$F$69,A96)</f>
        <v>11363.34</v>
      </c>
      <c r="X96" s="16" t="n">
        <f aca="false">IF(AND(M96=0,W96&gt;0,ABS(W96-K96)&gt;0.01),1,0)</f>
        <v>0</v>
      </c>
      <c r="Y96" s="16" t="n">
        <f aca="false">IF(AND(M96=0,W96=0,L96&lt;About!$B$3),1,0)</f>
        <v>0</v>
      </c>
      <c r="Z96" s="16" t="n">
        <f aca="false">M96+SUM(O96:V96)+X96+Y96</f>
        <v>0</v>
      </c>
    </row>
    <row r="97" customFormat="false" ht="15" hidden="false" customHeight="false" outlineLevel="0" collapsed="false">
      <c r="A97" s="2" t="str">
        <f aca="false">Invoices!A97</f>
        <v>INV-10104</v>
      </c>
      <c r="B97" s="2" t="str">
        <f aca="false">Invoices!B97</f>
        <v>CEDARLINE PAPER SUPPLY</v>
      </c>
      <c r="C97" s="2" t="str">
        <f aca="false">IFERROR(INDEX(Vendor_Aliases!$B$2:$B$25,MATCH(UPPER(TRIM(B97)),Vendor_Aliases!$A$2:$A$25,0)),"UNKNOWN")</f>
        <v>V006</v>
      </c>
      <c r="D97" s="2" t="str">
        <f aca="false">IFERROR(INDEX(Vendors!$E$2:$E$11,MATCH(C97,Vendors!$A$2:$A$11,0)),"")</f>
        <v>Active</v>
      </c>
      <c r="E97" s="2" t="str">
        <f aca="false">IF(Invoices!C97="","",Invoices!C97)</f>
        <v>PO-4571</v>
      </c>
      <c r="F97" s="2" t="str">
        <f aca="false">IF(E97="","",IFERROR(INDEX(POs!$B$2:$B$61,MATCH(E97,POs!$A$2:$A$61,0)),"NOT FOUND"))</f>
        <v>V006</v>
      </c>
      <c r="G97" s="14" t="n">
        <f aca="false">IF(E97="","",IFERROR(INDEX(POs!$E$2:$E$61,MATCH(E97,POs!$A$2:$A$61,0)),""))</f>
        <v>19200</v>
      </c>
      <c r="H97" s="15" t="n">
        <f aca="false">Invoices!D97</f>
        <v>46167</v>
      </c>
      <c r="I97" s="14" t="n">
        <f aca="false">Invoices!E97</f>
        <v>9984</v>
      </c>
      <c r="J97" s="14" t="n">
        <f aca="false">Invoices!F97</f>
        <v>1297.92</v>
      </c>
      <c r="K97" s="14" t="n">
        <f aca="false">Invoices!G97</f>
        <v>11281.92</v>
      </c>
      <c r="L97" s="15" t="n">
        <f aca="false">IFERROR(H97+INDEX(Vendors!$H$2:$H$11,MATCH(C97,Vendors!$A$2:$A$11,0)),H97+30)</f>
        <v>46212</v>
      </c>
      <c r="M97" s="16" t="n">
        <f aca="false">IF(COUNTIF($A$2:A97,A97)&gt;1,1,0)</f>
        <v>0</v>
      </c>
      <c r="N97" s="14" t="n">
        <f aca="false">IF(E97="","",SUMIFS($I$2:$I$97,$E$2:$E$97,E97,$M$2:$M$97,0))</f>
        <v>22464</v>
      </c>
      <c r="O97" s="16" t="n">
        <f aca="false">IF(C97="UNKNOWN",1,0)</f>
        <v>0</v>
      </c>
      <c r="P97" s="16" t="n">
        <f aca="false">IF(E97="",1,0)</f>
        <v>0</v>
      </c>
      <c r="Q97" s="16" t="n">
        <f aca="false">IF(F97="NOT FOUND",1,0)</f>
        <v>0</v>
      </c>
      <c r="R97" s="16" t="n">
        <f aca="false">IF(AND(F97&lt;&gt;"",F97&lt;&gt;"NOT FOUND",F97&lt;&gt;C97),1,0)</f>
        <v>0</v>
      </c>
      <c r="S97" s="16" t="n">
        <f aca="false">IF(AND(M97=0,ISNUMBER(G97),N97&gt;G97),1,0)</f>
        <v>1</v>
      </c>
      <c r="T97" s="16" t="n">
        <f aca="false">IF(ABS(I97+J97-K97)&gt;0.01,1,0)</f>
        <v>0</v>
      </c>
      <c r="U97" s="16" t="n">
        <f aca="false">IFERROR(IF(ABS(J97-ROUND(I97*INDEX(Vendors!$G$2:$G$11,MATCH(C97,Vendors!$A$2:$A$11,0)),2))&gt;0.01,1,0),0)</f>
        <v>0</v>
      </c>
      <c r="V97" s="16" t="n">
        <f aca="false">IF(D97="Inactive",1,0)</f>
        <v>0</v>
      </c>
      <c r="W97" s="14" t="n">
        <f aca="false">SUMIFS(Payments!$D$2:$D$69,Payments!$F$2:$F$69,A97)</f>
        <v>0</v>
      </c>
      <c r="X97" s="16" t="n">
        <f aca="false">IF(AND(M97=0,W97&gt;0,ABS(W97-K97)&gt;0.01),1,0)</f>
        <v>0</v>
      </c>
      <c r="Y97" s="16" t="n">
        <f aca="false">IF(AND(M97=0,W97=0,L97&lt;About!$B$3),1,0)</f>
        <v>1</v>
      </c>
      <c r="Z97" s="16" t="n">
        <f aca="false">M97+SUM(O97:V97)+X97+Y97</f>
        <v>2</v>
      </c>
    </row>
  </sheetData>
  <conditionalFormatting sqref="M2:M97">
    <cfRule type="expression" priority="2" aboveAverage="0" equalAverage="0" bottom="0" percent="0" rank="0" text="" dxfId="5">
      <formula>M2=1</formula>
    </cfRule>
  </conditionalFormatting>
  <conditionalFormatting sqref="O2:V97">
    <cfRule type="expression" priority="3" aboveAverage="0" equalAverage="0" bottom="0" percent="0" rank="0" text="" dxfId="5">
      <formula>O2=1</formula>
    </cfRule>
  </conditionalFormatting>
  <conditionalFormatting sqref="X2:Y97">
    <cfRule type="expression" priority="4" aboveAverage="0" equalAverage="0" bottom="0" percent="0" rank="0" text="" dxfId="5">
      <formula>X2=1</formula>
    </cfRule>
  </conditionalFormatting>
  <conditionalFormatting sqref="Z2:Z97">
    <cfRule type="expression" priority="5" aboveAverage="0" equalAverage="0" bottom="0" percent="0" rank="0" text="" dxfId="6">
      <formula>Z2&gt;0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1"/>
  </cols>
  <sheetData>
    <row r="1" customFormat="false" ht="26.85" hidden="false" customHeight="false" outlineLevel="0" collapsed="false">
      <c r="A1" s="9" t="s">
        <v>299</v>
      </c>
      <c r="B1" s="9" t="s">
        <v>304</v>
      </c>
      <c r="C1" s="9" t="s">
        <v>302</v>
      </c>
      <c r="D1" s="9" t="s">
        <v>420</v>
      </c>
      <c r="E1" s="9" t="s">
        <v>421</v>
      </c>
    </row>
    <row r="2" customFormat="false" ht="15" hidden="false" customHeight="false" outlineLevel="0" collapsed="false">
      <c r="A2" s="2" t="str">
        <f aca="false">Payments!A2</f>
        <v>EFT880075</v>
      </c>
      <c r="B2" s="2" t="str">
        <f aca="false">Payments!F2</f>
        <v>INV-10036</v>
      </c>
      <c r="C2" s="14" t="n">
        <f aca="false">Payments!D2</f>
        <v>7662.95</v>
      </c>
      <c r="D2" s="2" t="str">
        <f aca="false">IF(COUNTIF(Invoices!$A$2:$A$97,B2)&gt;0,"Yes","No")</f>
        <v>Yes</v>
      </c>
      <c r="E2" s="16" t="n">
        <f aca="false">IF(D2="No",1,0)</f>
        <v>0</v>
      </c>
    </row>
    <row r="3" customFormat="false" ht="15" hidden="false" customHeight="false" outlineLevel="0" collapsed="false">
      <c r="A3" s="2" t="str">
        <f aca="false">Payments!A3</f>
        <v>EFT880312</v>
      </c>
      <c r="B3" s="2" t="str">
        <f aca="false">Payments!F3</f>
        <v>INV-10145</v>
      </c>
      <c r="C3" s="14" t="n">
        <f aca="false">Payments!D3</f>
        <v>11363.34</v>
      </c>
      <c r="D3" s="2" t="str">
        <f aca="false">IF(COUNTIF(Invoices!$A$2:$A$97,B3)&gt;0,"Yes","No")</f>
        <v>Yes</v>
      </c>
      <c r="E3" s="16" t="n">
        <f aca="false">IF(D3="No",1,0)</f>
        <v>0</v>
      </c>
    </row>
    <row r="4" customFormat="false" ht="15" hidden="false" customHeight="false" outlineLevel="0" collapsed="false">
      <c r="A4" s="2" t="str">
        <f aca="false">Payments!A4</f>
        <v>EFT880220</v>
      </c>
      <c r="B4" s="2" t="str">
        <f aca="false">Payments!F4</f>
        <v>INV-10071</v>
      </c>
      <c r="C4" s="14" t="n">
        <f aca="false">Payments!D4</f>
        <v>1070.42</v>
      </c>
      <c r="D4" s="2" t="str">
        <f aca="false">IF(COUNTIF(Invoices!$A$2:$A$97,B4)&gt;0,"Yes","No")</f>
        <v>Yes</v>
      </c>
      <c r="E4" s="16" t="n">
        <f aca="false">IF(D4="No",1,0)</f>
        <v>0</v>
      </c>
    </row>
    <row r="5" customFormat="false" ht="15" hidden="false" customHeight="false" outlineLevel="0" collapsed="false">
      <c r="A5" s="2" t="str">
        <f aca="false">Payments!A5</f>
        <v>EFT880139</v>
      </c>
      <c r="B5" s="2" t="str">
        <f aca="false">Payments!F5</f>
        <v>INV-10067</v>
      </c>
      <c r="C5" s="14" t="n">
        <f aca="false">Payments!D5</f>
        <v>2346.66</v>
      </c>
      <c r="D5" s="2" t="str">
        <f aca="false">IF(COUNTIF(Invoices!$A$2:$A$97,B5)&gt;0,"Yes","No")</f>
        <v>Yes</v>
      </c>
      <c r="E5" s="16" t="n">
        <f aca="false">IF(D5="No",1,0)</f>
        <v>0</v>
      </c>
    </row>
    <row r="6" customFormat="false" ht="15" hidden="false" customHeight="false" outlineLevel="0" collapsed="false">
      <c r="A6" s="2" t="str">
        <f aca="false">Payments!A6</f>
        <v>EFT880063</v>
      </c>
      <c r="B6" s="2" t="str">
        <f aca="false">Payments!F6</f>
        <v>INV-10087</v>
      </c>
      <c r="C6" s="14" t="n">
        <f aca="false">Payments!D6</f>
        <v>2010.22</v>
      </c>
      <c r="D6" s="2" t="str">
        <f aca="false">IF(COUNTIF(Invoices!$A$2:$A$97,B6)&gt;0,"Yes","No")</f>
        <v>Yes</v>
      </c>
      <c r="E6" s="16" t="n">
        <f aca="false">IF(D6="No",1,0)</f>
        <v>0</v>
      </c>
    </row>
    <row r="7" customFormat="false" ht="15" hidden="false" customHeight="false" outlineLevel="0" collapsed="false">
      <c r="A7" s="2" t="str">
        <f aca="false">Payments!A7</f>
        <v>EFT880037</v>
      </c>
      <c r="B7" s="2" t="str">
        <f aca="false">Payments!F7</f>
        <v>INV-10070</v>
      </c>
      <c r="C7" s="14" t="n">
        <f aca="false">Payments!D7</f>
        <v>1266.91</v>
      </c>
      <c r="D7" s="2" t="str">
        <f aca="false">IF(COUNTIF(Invoices!$A$2:$A$97,B7)&gt;0,"Yes","No")</f>
        <v>Yes</v>
      </c>
      <c r="E7" s="16" t="n">
        <f aca="false">IF(D7="No",1,0)</f>
        <v>0</v>
      </c>
    </row>
    <row r="8" customFormat="false" ht="15" hidden="false" customHeight="false" outlineLevel="0" collapsed="false">
      <c r="A8" s="2" t="str">
        <f aca="false">Payments!A8</f>
        <v>EFT880206</v>
      </c>
      <c r="B8" s="2" t="str">
        <f aca="false">Payments!F8</f>
        <v>INV-10010</v>
      </c>
      <c r="C8" s="14" t="n">
        <f aca="false">Payments!D8</f>
        <v>4414.68</v>
      </c>
      <c r="D8" s="2" t="str">
        <f aca="false">IF(COUNTIF(Invoices!$A$2:$A$97,B8)&gt;0,"Yes","No")</f>
        <v>Yes</v>
      </c>
      <c r="E8" s="16" t="n">
        <f aca="false">IF(D8="No",1,0)</f>
        <v>0</v>
      </c>
    </row>
    <row r="9" customFormat="false" ht="15" hidden="false" customHeight="false" outlineLevel="0" collapsed="false">
      <c r="A9" s="2" t="str">
        <f aca="false">Payments!A9</f>
        <v>EFT880043</v>
      </c>
      <c r="B9" s="2" t="str">
        <f aca="false">Payments!F9</f>
        <v>INV-10046</v>
      </c>
      <c r="C9" s="14" t="n">
        <f aca="false">Payments!D9</f>
        <v>8299.36</v>
      </c>
      <c r="D9" s="2" t="str">
        <f aca="false">IF(COUNTIF(Invoices!$A$2:$A$97,B9)&gt;0,"Yes","No")</f>
        <v>Yes</v>
      </c>
      <c r="E9" s="16" t="n">
        <f aca="false">IF(D9="No",1,0)</f>
        <v>0</v>
      </c>
    </row>
    <row r="10" customFormat="false" ht="15" hidden="false" customHeight="false" outlineLevel="0" collapsed="false">
      <c r="A10" s="2" t="str">
        <f aca="false">Payments!A10</f>
        <v>EFT880317</v>
      </c>
      <c r="B10" s="2" t="str">
        <f aca="false">Payments!F10</f>
        <v>INV-99001</v>
      </c>
      <c r="C10" s="14" t="n">
        <f aca="false">Payments!D10</f>
        <v>1005.11</v>
      </c>
      <c r="D10" s="2" t="str">
        <f aca="false">IF(COUNTIF(Invoices!$A$2:$A$97,B10)&gt;0,"Yes","No")</f>
        <v>No</v>
      </c>
      <c r="E10" s="16" t="n">
        <f aca="false">IF(D10="No",1,0)</f>
        <v>1</v>
      </c>
    </row>
    <row r="11" customFormat="false" ht="15" hidden="false" customHeight="false" outlineLevel="0" collapsed="false">
      <c r="A11" s="2" t="str">
        <f aca="false">Payments!A11</f>
        <v>EFT880026</v>
      </c>
      <c r="B11" s="2" t="str">
        <f aca="false">Payments!F11</f>
        <v>INV-10077</v>
      </c>
      <c r="C11" s="14" t="n">
        <f aca="false">Payments!D11</f>
        <v>5358.55</v>
      </c>
      <c r="D11" s="2" t="str">
        <f aca="false">IF(COUNTIF(Invoices!$A$2:$A$97,B11)&gt;0,"Yes","No")</f>
        <v>Yes</v>
      </c>
      <c r="E11" s="16" t="n">
        <f aca="false">IF(D11="No",1,0)</f>
        <v>0</v>
      </c>
    </row>
    <row r="12" customFormat="false" ht="15" hidden="false" customHeight="false" outlineLevel="0" collapsed="false">
      <c r="A12" s="2" t="str">
        <f aca="false">Payments!A12</f>
        <v>EFT880190</v>
      </c>
      <c r="B12" s="2" t="str">
        <f aca="false">Payments!F12</f>
        <v>INV-10159</v>
      </c>
      <c r="C12" s="14" t="n">
        <f aca="false">Payments!D12</f>
        <v>2075.32</v>
      </c>
      <c r="D12" s="2" t="str">
        <f aca="false">IF(COUNTIF(Invoices!$A$2:$A$97,B12)&gt;0,"Yes","No")</f>
        <v>Yes</v>
      </c>
      <c r="E12" s="16" t="n">
        <f aca="false">IF(D12="No",1,0)</f>
        <v>0</v>
      </c>
    </row>
    <row r="13" customFormat="false" ht="15" hidden="false" customHeight="false" outlineLevel="0" collapsed="false">
      <c r="A13" s="2" t="str">
        <f aca="false">Payments!A13</f>
        <v>EFT880070</v>
      </c>
      <c r="B13" s="2" t="str">
        <f aca="false">Payments!F13</f>
        <v>INV-10023</v>
      </c>
      <c r="C13" s="14" t="n">
        <f aca="false">Payments!D13</f>
        <v>1821.56</v>
      </c>
      <c r="D13" s="2" t="str">
        <f aca="false">IF(COUNTIF(Invoices!$A$2:$A$97,B13)&gt;0,"Yes","No")</f>
        <v>Yes</v>
      </c>
      <c r="E13" s="16" t="n">
        <f aca="false">IF(D13="No",1,0)</f>
        <v>0</v>
      </c>
    </row>
    <row r="14" customFormat="false" ht="15" hidden="false" customHeight="false" outlineLevel="0" collapsed="false">
      <c r="A14" s="2" t="str">
        <f aca="false">Payments!A14</f>
        <v>EFT880169</v>
      </c>
      <c r="B14" s="2" t="str">
        <f aca="false">Payments!F14</f>
        <v>INV-10060</v>
      </c>
      <c r="C14" s="14" t="n">
        <f aca="false">Payments!D14</f>
        <v>7633.52</v>
      </c>
      <c r="D14" s="2" t="str">
        <f aca="false">IF(COUNTIF(Invoices!$A$2:$A$97,B14)&gt;0,"Yes","No")</f>
        <v>Yes</v>
      </c>
      <c r="E14" s="16" t="n">
        <f aca="false">IF(D14="No",1,0)</f>
        <v>0</v>
      </c>
    </row>
    <row r="15" customFormat="false" ht="15" hidden="false" customHeight="false" outlineLevel="0" collapsed="false">
      <c r="A15" s="2" t="str">
        <f aca="false">Payments!A15</f>
        <v>EFT880096</v>
      </c>
      <c r="B15" s="2" t="str">
        <f aca="false">Payments!F15</f>
        <v>INV-10131</v>
      </c>
      <c r="C15" s="14" t="n">
        <f aca="false">Payments!D15</f>
        <v>2359.27</v>
      </c>
      <c r="D15" s="2" t="str">
        <f aca="false">IF(COUNTIF(Invoices!$A$2:$A$97,B15)&gt;0,"Yes","No")</f>
        <v>Yes</v>
      </c>
      <c r="E15" s="16" t="n">
        <f aca="false">IF(D15="No",1,0)</f>
        <v>0</v>
      </c>
    </row>
    <row r="16" customFormat="false" ht="15" hidden="false" customHeight="false" outlineLevel="0" collapsed="false">
      <c r="A16" s="2" t="str">
        <f aca="false">Payments!A16</f>
        <v>EFT880177</v>
      </c>
      <c r="B16" s="2" t="str">
        <f aca="false">Payments!F16</f>
        <v>INV-10033</v>
      </c>
      <c r="C16" s="14" t="n">
        <f aca="false">Payments!D16</f>
        <v>23401.17</v>
      </c>
      <c r="D16" s="2" t="str">
        <f aca="false">IF(COUNTIF(Invoices!$A$2:$A$97,B16)&gt;0,"Yes","No")</f>
        <v>Yes</v>
      </c>
      <c r="E16" s="16" t="n">
        <f aca="false">IF(D16="No",1,0)</f>
        <v>0</v>
      </c>
    </row>
    <row r="17" customFormat="false" ht="15" hidden="false" customHeight="false" outlineLevel="0" collapsed="false">
      <c r="A17" s="2" t="str">
        <f aca="false">Payments!A17</f>
        <v>EFT880278</v>
      </c>
      <c r="B17" s="2" t="str">
        <f aca="false">Payments!F17</f>
        <v>INV-10093</v>
      </c>
      <c r="C17" s="14" t="n">
        <f aca="false">Payments!D17</f>
        <v>19959.47</v>
      </c>
      <c r="D17" s="2" t="str">
        <f aca="false">IF(COUNTIF(Invoices!$A$2:$A$97,B17)&gt;0,"Yes","No")</f>
        <v>Yes</v>
      </c>
      <c r="E17" s="16" t="n">
        <f aca="false">IF(D17="No",1,0)</f>
        <v>0</v>
      </c>
    </row>
    <row r="18" customFormat="false" ht="15" hidden="false" customHeight="false" outlineLevel="0" collapsed="false">
      <c r="A18" s="2" t="str">
        <f aca="false">Payments!A18</f>
        <v>EFT880154</v>
      </c>
      <c r="B18" s="2" t="str">
        <f aca="false">Payments!F18</f>
        <v>INV-10113</v>
      </c>
      <c r="C18" s="14" t="n">
        <f aca="false">Payments!D18</f>
        <v>6154.17</v>
      </c>
      <c r="D18" s="2" t="str">
        <f aca="false">IF(COUNTIF(Invoices!$A$2:$A$97,B18)&gt;0,"Yes","No")</f>
        <v>Yes</v>
      </c>
      <c r="E18" s="16" t="n">
        <f aca="false">IF(D18="No",1,0)</f>
        <v>0</v>
      </c>
    </row>
    <row r="19" customFormat="false" ht="15" hidden="false" customHeight="false" outlineLevel="0" collapsed="false">
      <c r="A19" s="2" t="str">
        <f aca="false">Payments!A19</f>
        <v>EFT880294</v>
      </c>
      <c r="B19" s="2" t="str">
        <f aca="false">Payments!F19</f>
        <v>INV-10048</v>
      </c>
      <c r="C19" s="14" t="n">
        <f aca="false">Payments!D19</f>
        <v>15991.66</v>
      </c>
      <c r="D19" s="2" t="str">
        <f aca="false">IF(COUNTIF(Invoices!$A$2:$A$97,B19)&gt;0,"Yes","No")</f>
        <v>Yes</v>
      </c>
      <c r="E19" s="16" t="n">
        <f aca="false">IF(D19="No",1,0)</f>
        <v>0</v>
      </c>
    </row>
    <row r="20" customFormat="false" ht="15" hidden="false" customHeight="false" outlineLevel="0" collapsed="false">
      <c r="A20" s="2" t="str">
        <f aca="false">Payments!A20</f>
        <v>EFT880178</v>
      </c>
      <c r="B20" s="2" t="str">
        <f aca="false">Payments!F20</f>
        <v>INV-10003</v>
      </c>
      <c r="C20" s="14" t="n">
        <f aca="false">Payments!D20</f>
        <v>3118.19</v>
      </c>
      <c r="D20" s="2" t="str">
        <f aca="false">IF(COUNTIF(Invoices!$A$2:$A$97,B20)&gt;0,"Yes","No")</f>
        <v>Yes</v>
      </c>
      <c r="E20" s="16" t="n">
        <f aca="false">IF(D20="No",1,0)</f>
        <v>0</v>
      </c>
    </row>
    <row r="21" customFormat="false" ht="15" hidden="false" customHeight="false" outlineLevel="0" collapsed="false">
      <c r="A21" s="2" t="str">
        <f aca="false">Payments!A21</f>
        <v>EFT880251</v>
      </c>
      <c r="B21" s="2" t="str">
        <f aca="false">Payments!F21</f>
        <v>INV-10127</v>
      </c>
      <c r="C21" s="14" t="n">
        <f aca="false">Payments!D21</f>
        <v>8133.02</v>
      </c>
      <c r="D21" s="2" t="str">
        <f aca="false">IF(COUNTIF(Invoices!$A$2:$A$97,B21)&gt;0,"Yes","No")</f>
        <v>Yes</v>
      </c>
      <c r="E21" s="16" t="n">
        <f aca="false">IF(D21="No",1,0)</f>
        <v>0</v>
      </c>
    </row>
    <row r="22" customFormat="false" ht="15" hidden="false" customHeight="false" outlineLevel="0" collapsed="false">
      <c r="A22" s="2" t="str">
        <f aca="false">Payments!A22</f>
        <v>EFT880148</v>
      </c>
      <c r="B22" s="2" t="str">
        <f aca="false">Payments!F22</f>
        <v>INV-10090</v>
      </c>
      <c r="C22" s="14" t="n">
        <f aca="false">Payments!D22</f>
        <v>1485.71</v>
      </c>
      <c r="D22" s="2" t="str">
        <f aca="false">IF(COUNTIF(Invoices!$A$2:$A$97,B22)&gt;0,"Yes","No")</f>
        <v>Yes</v>
      </c>
      <c r="E22" s="16" t="n">
        <f aca="false">IF(D22="No",1,0)</f>
        <v>0</v>
      </c>
    </row>
    <row r="23" customFormat="false" ht="15" hidden="false" customHeight="false" outlineLevel="0" collapsed="false">
      <c r="A23" s="2" t="str">
        <f aca="false">Payments!A23</f>
        <v>EFT880107</v>
      </c>
      <c r="B23" s="2" t="str">
        <f aca="false">Payments!F23</f>
        <v>INV-10100</v>
      </c>
      <c r="C23" s="14" t="n">
        <f aca="false">Payments!D23</f>
        <v>7092.28</v>
      </c>
      <c r="D23" s="2" t="str">
        <f aca="false">IF(COUNTIF(Invoices!$A$2:$A$97,B23)&gt;0,"Yes","No")</f>
        <v>Yes</v>
      </c>
      <c r="E23" s="16" t="n">
        <f aca="false">IF(D23="No",1,0)</f>
        <v>0</v>
      </c>
    </row>
    <row r="24" customFormat="false" ht="15" hidden="false" customHeight="false" outlineLevel="0" collapsed="false">
      <c r="A24" s="2" t="str">
        <f aca="false">Payments!A24</f>
        <v>EFT880046</v>
      </c>
      <c r="B24" s="2" t="str">
        <f aca="false">Payments!F24</f>
        <v>INV-10025</v>
      </c>
      <c r="C24" s="14" t="n">
        <f aca="false">Payments!D24</f>
        <v>19266.29</v>
      </c>
      <c r="D24" s="2" t="str">
        <f aca="false">IF(COUNTIF(Invoices!$A$2:$A$97,B24)&gt;0,"Yes","No")</f>
        <v>Yes</v>
      </c>
      <c r="E24" s="16" t="n">
        <f aca="false">IF(D24="No",1,0)</f>
        <v>0</v>
      </c>
    </row>
    <row r="25" customFormat="false" ht="15" hidden="false" customHeight="false" outlineLevel="0" collapsed="false">
      <c r="A25" s="2" t="str">
        <f aca="false">Payments!A25</f>
        <v>EFT880184</v>
      </c>
      <c r="B25" s="2" t="str">
        <f aca="false">Payments!F25</f>
        <v>INV-10172</v>
      </c>
      <c r="C25" s="14" t="n">
        <f aca="false">Payments!D25</f>
        <v>1140.74</v>
      </c>
      <c r="D25" s="2" t="str">
        <f aca="false">IF(COUNTIF(Invoices!$A$2:$A$97,B25)&gt;0,"Yes","No")</f>
        <v>Yes</v>
      </c>
      <c r="E25" s="16" t="n">
        <f aca="false">IF(D25="No",1,0)</f>
        <v>0</v>
      </c>
    </row>
    <row r="26" customFormat="false" ht="15" hidden="false" customHeight="false" outlineLevel="0" collapsed="false">
      <c r="A26" s="2" t="str">
        <f aca="false">Payments!A26</f>
        <v>EFT880304</v>
      </c>
      <c r="B26" s="2" t="str">
        <f aca="false">Payments!F26</f>
        <v>INV-10053</v>
      </c>
      <c r="C26" s="14" t="n">
        <f aca="false">Payments!D26</f>
        <v>7990.59</v>
      </c>
      <c r="D26" s="2" t="str">
        <f aca="false">IF(COUNTIF(Invoices!$A$2:$A$97,B26)&gt;0,"Yes","No")</f>
        <v>Yes</v>
      </c>
      <c r="E26" s="16" t="n">
        <f aca="false">IF(D26="No",1,0)</f>
        <v>0</v>
      </c>
    </row>
    <row r="27" customFormat="false" ht="15" hidden="false" customHeight="false" outlineLevel="0" collapsed="false">
      <c r="A27" s="2" t="str">
        <f aca="false">Payments!A27</f>
        <v>EFT880263</v>
      </c>
      <c r="B27" s="2" t="str">
        <f aca="false">Payments!F27</f>
        <v>INV-10015</v>
      </c>
      <c r="C27" s="14" t="n">
        <f aca="false">Payments!D27</f>
        <v>7141.08</v>
      </c>
      <c r="D27" s="2" t="str">
        <f aca="false">IF(COUNTIF(Invoices!$A$2:$A$97,B27)&gt;0,"Yes","No")</f>
        <v>Yes</v>
      </c>
      <c r="E27" s="16" t="n">
        <f aca="false">IF(D27="No",1,0)</f>
        <v>0</v>
      </c>
    </row>
    <row r="28" customFormat="false" ht="15" hidden="false" customHeight="false" outlineLevel="0" collapsed="false">
      <c r="A28" s="2" t="str">
        <f aca="false">Payments!A28</f>
        <v>EFT880131</v>
      </c>
      <c r="B28" s="2" t="str">
        <f aca="false">Payments!F28</f>
        <v>INV-10140</v>
      </c>
      <c r="C28" s="14" t="n">
        <f aca="false">Payments!D28</f>
        <v>4777.15</v>
      </c>
      <c r="D28" s="2" t="str">
        <f aca="false">IF(COUNTIF(Invoices!$A$2:$A$97,B28)&gt;0,"Yes","No")</f>
        <v>Yes</v>
      </c>
      <c r="E28" s="16" t="n">
        <f aca="false">IF(D28="No",1,0)</f>
        <v>0</v>
      </c>
    </row>
    <row r="29" customFormat="false" ht="15" hidden="false" customHeight="false" outlineLevel="0" collapsed="false">
      <c r="A29" s="2" t="str">
        <f aca="false">Payments!A29</f>
        <v>EFT880269</v>
      </c>
      <c r="B29" s="2" t="str">
        <f aca="false">Payments!F29</f>
        <v>INV-10098</v>
      </c>
      <c r="C29" s="14" t="n">
        <f aca="false">Payments!D29</f>
        <v>8663.59</v>
      </c>
      <c r="D29" s="2" t="str">
        <f aca="false">IF(COUNTIF(Invoices!$A$2:$A$97,B29)&gt;0,"Yes","No")</f>
        <v>Yes</v>
      </c>
      <c r="E29" s="16" t="n">
        <f aca="false">IF(D29="No",1,0)</f>
        <v>0</v>
      </c>
    </row>
    <row r="30" customFormat="false" ht="15" hidden="false" customHeight="false" outlineLevel="0" collapsed="false">
      <c r="A30" s="2" t="str">
        <f aca="false">Payments!A30</f>
        <v>EFT880245</v>
      </c>
      <c r="B30" s="2" t="str">
        <f aca="false">Payments!F30</f>
        <v>INV-10134</v>
      </c>
      <c r="C30" s="14" t="n">
        <f aca="false">Payments!D30</f>
        <v>2977.91</v>
      </c>
      <c r="D30" s="2" t="str">
        <f aca="false">IF(COUNTIF(Invoices!$A$2:$A$97,B30)&gt;0,"Yes","No")</f>
        <v>Yes</v>
      </c>
      <c r="E30" s="16" t="n">
        <f aca="false">IF(D30="No",1,0)</f>
        <v>0</v>
      </c>
    </row>
    <row r="31" customFormat="false" ht="15" hidden="false" customHeight="false" outlineLevel="0" collapsed="false">
      <c r="A31" s="2" t="str">
        <f aca="false">Payments!A31</f>
        <v>EFT880271</v>
      </c>
      <c r="B31" s="2" t="str">
        <f aca="false">Payments!F31</f>
        <v>INV-10107</v>
      </c>
      <c r="C31" s="14" t="n">
        <f aca="false">Payments!D31</f>
        <v>4044.48</v>
      </c>
      <c r="D31" s="2" t="str">
        <f aca="false">IF(COUNTIF(Invoices!$A$2:$A$97,B31)&gt;0,"Yes","No")</f>
        <v>Yes</v>
      </c>
      <c r="E31" s="16" t="n">
        <f aca="false">IF(D31="No",1,0)</f>
        <v>0</v>
      </c>
    </row>
    <row r="32" customFormat="false" ht="15" hidden="false" customHeight="false" outlineLevel="0" collapsed="false">
      <c r="A32" s="2" t="str">
        <f aca="false">Payments!A32</f>
        <v>EFT880236</v>
      </c>
      <c r="B32" s="2" t="str">
        <f aca="false">Payments!F32</f>
        <v>INV-10118</v>
      </c>
      <c r="C32" s="14" t="n">
        <f aca="false">Payments!D32</f>
        <v>1710.99</v>
      </c>
      <c r="D32" s="2" t="str">
        <f aca="false">IF(COUNTIF(Invoices!$A$2:$A$97,B32)&gt;0,"Yes","No")</f>
        <v>Yes</v>
      </c>
      <c r="E32" s="16" t="n">
        <f aca="false">IF(D32="No",1,0)</f>
        <v>0</v>
      </c>
    </row>
    <row r="33" customFormat="false" ht="15" hidden="false" customHeight="false" outlineLevel="0" collapsed="false">
      <c r="A33" s="2" t="str">
        <f aca="false">Payments!A33</f>
        <v>EFT880164</v>
      </c>
      <c r="B33" s="2" t="str">
        <f aca="false">Payments!F33</f>
        <v>INV-10171</v>
      </c>
      <c r="C33" s="14" t="n">
        <f aca="false">Payments!D33</f>
        <v>1421.4</v>
      </c>
      <c r="D33" s="2" t="str">
        <f aca="false">IF(COUNTIF(Invoices!$A$2:$A$97,B33)&gt;0,"Yes","No")</f>
        <v>Yes</v>
      </c>
      <c r="E33" s="16" t="n">
        <f aca="false">IF(D33="No",1,0)</f>
        <v>0</v>
      </c>
    </row>
    <row r="34" customFormat="false" ht="15" hidden="false" customHeight="false" outlineLevel="0" collapsed="false">
      <c r="A34" s="2" t="str">
        <f aca="false">Payments!A34</f>
        <v>EFT880266</v>
      </c>
      <c r="B34" s="2" t="str">
        <f aca="false">Payments!F34</f>
        <v>INV-10002</v>
      </c>
      <c r="C34" s="14" t="n">
        <f aca="false">Payments!D34</f>
        <v>3928.65</v>
      </c>
      <c r="D34" s="2" t="str">
        <f aca="false">IF(COUNTIF(Invoices!$A$2:$A$97,B34)&gt;0,"Yes","No")</f>
        <v>Yes</v>
      </c>
      <c r="E34" s="16" t="n">
        <f aca="false">IF(D34="No",1,0)</f>
        <v>0</v>
      </c>
    </row>
    <row r="35" customFormat="false" ht="15" hidden="false" customHeight="false" outlineLevel="0" collapsed="false">
      <c r="A35" s="2" t="str">
        <f aca="false">Payments!A35</f>
        <v>EFT880089</v>
      </c>
      <c r="B35" s="2" t="str">
        <f aca="false">Payments!F35</f>
        <v>INV-10006</v>
      </c>
      <c r="C35" s="14" t="n">
        <f aca="false">Payments!D35</f>
        <v>8724.2</v>
      </c>
      <c r="D35" s="2" t="str">
        <f aca="false">IF(COUNTIF(Invoices!$A$2:$A$97,B35)&gt;0,"Yes","No")</f>
        <v>Yes</v>
      </c>
      <c r="E35" s="16" t="n">
        <f aca="false">IF(D35="No",1,0)</f>
        <v>0</v>
      </c>
    </row>
    <row r="36" customFormat="false" ht="15" hidden="false" customHeight="false" outlineLevel="0" collapsed="false">
      <c r="A36" s="2" t="str">
        <f aca="false">Payments!A36</f>
        <v>EFT880270</v>
      </c>
      <c r="B36" s="2" t="str">
        <f aca="false">Payments!F36</f>
        <v>INV-10018</v>
      </c>
      <c r="C36" s="14" t="n">
        <f aca="false">Payments!D36</f>
        <v>5388.91</v>
      </c>
      <c r="D36" s="2" t="str">
        <f aca="false">IF(COUNTIF(Invoices!$A$2:$A$97,B36)&gt;0,"Yes","No")</f>
        <v>Yes</v>
      </c>
      <c r="E36" s="16" t="n">
        <f aca="false">IF(D36="No",1,0)</f>
        <v>0</v>
      </c>
    </row>
    <row r="37" customFormat="false" ht="15" hidden="false" customHeight="false" outlineLevel="0" collapsed="false">
      <c r="A37" s="2" t="str">
        <f aca="false">Payments!A37</f>
        <v>EFT880041</v>
      </c>
      <c r="B37" s="2" t="str">
        <f aca="false">Payments!F37</f>
        <v>INV-10028</v>
      </c>
      <c r="C37" s="14" t="n">
        <f aca="false">Payments!D37</f>
        <v>4018.41</v>
      </c>
      <c r="D37" s="2" t="str">
        <f aca="false">IF(COUNTIF(Invoices!$A$2:$A$97,B37)&gt;0,"Yes","No")</f>
        <v>Yes</v>
      </c>
      <c r="E37" s="16" t="n">
        <f aca="false">IF(D37="No",1,0)</f>
        <v>0</v>
      </c>
    </row>
    <row r="38" customFormat="false" ht="15" hidden="false" customHeight="false" outlineLevel="0" collapsed="false">
      <c r="A38" s="2" t="str">
        <f aca="false">Payments!A38</f>
        <v>EFT880322</v>
      </c>
      <c r="B38" s="2" t="str">
        <f aca="false">Payments!F38</f>
        <v>INV-99017</v>
      </c>
      <c r="C38" s="14" t="n">
        <f aca="false">Payments!D38</f>
        <v>1012.44</v>
      </c>
      <c r="D38" s="2" t="str">
        <f aca="false">IF(COUNTIF(Invoices!$A$2:$A$97,B38)&gt;0,"Yes","No")</f>
        <v>No</v>
      </c>
      <c r="E38" s="16" t="n">
        <f aca="false">IF(D38="No",1,0)</f>
        <v>1</v>
      </c>
    </row>
    <row r="39" customFormat="false" ht="15" hidden="false" customHeight="false" outlineLevel="0" collapsed="false">
      <c r="A39" s="2" t="str">
        <f aca="false">Payments!A39</f>
        <v>EFT880259</v>
      </c>
      <c r="B39" s="2" t="str">
        <f aca="false">Payments!F39</f>
        <v>INV-10038</v>
      </c>
      <c r="C39" s="14" t="n">
        <f aca="false">Payments!D39</f>
        <v>12724.21</v>
      </c>
      <c r="D39" s="2" t="str">
        <f aca="false">IF(COUNTIF(Invoices!$A$2:$A$97,B39)&gt;0,"Yes","No")</f>
        <v>Yes</v>
      </c>
      <c r="E39" s="16" t="n">
        <f aca="false">IF(D39="No",1,0)</f>
        <v>0</v>
      </c>
    </row>
    <row r="40" customFormat="false" ht="15" hidden="false" customHeight="false" outlineLevel="0" collapsed="false">
      <c r="A40" s="2" t="str">
        <f aca="false">Payments!A40</f>
        <v>EFT880174</v>
      </c>
      <c r="B40" s="2" t="str">
        <f aca="false">Payments!F40</f>
        <v>INV-10064</v>
      </c>
      <c r="C40" s="14" t="n">
        <f aca="false">Payments!D40</f>
        <v>2941.4</v>
      </c>
      <c r="D40" s="2" t="str">
        <f aca="false">IF(COUNTIF(Invoices!$A$2:$A$97,B40)&gt;0,"Yes","No")</f>
        <v>Yes</v>
      </c>
      <c r="E40" s="16" t="n">
        <f aca="false">IF(D40="No",1,0)</f>
        <v>0</v>
      </c>
    </row>
    <row r="41" customFormat="false" ht="15" hidden="false" customHeight="false" outlineLevel="0" collapsed="false">
      <c r="A41" s="2" t="str">
        <f aca="false">Payments!A41</f>
        <v>EFT880034</v>
      </c>
      <c r="B41" s="2" t="str">
        <f aca="false">Payments!F41</f>
        <v>INV-10056</v>
      </c>
      <c r="C41" s="14" t="n">
        <f aca="false">Payments!D41</f>
        <v>6800.09</v>
      </c>
      <c r="D41" s="2" t="str">
        <f aca="false">IF(COUNTIF(Invoices!$A$2:$A$97,B41)&gt;0,"Yes","No")</f>
        <v>Yes</v>
      </c>
      <c r="E41" s="16" t="n">
        <f aca="false">IF(D41="No",1,0)</f>
        <v>0</v>
      </c>
    </row>
    <row r="42" customFormat="false" ht="15" hidden="false" customHeight="false" outlineLevel="0" collapsed="false">
      <c r="A42" s="2" t="str">
        <f aca="false">Payments!A42</f>
        <v>EFT880233</v>
      </c>
      <c r="B42" s="2" t="str">
        <f aca="false">Payments!F42</f>
        <v>INV-10112</v>
      </c>
      <c r="C42" s="14" t="n">
        <f aca="false">Payments!D42</f>
        <v>12623.41</v>
      </c>
      <c r="D42" s="2" t="str">
        <f aca="false">IF(COUNTIF(Invoices!$A$2:$A$97,B42)&gt;0,"Yes","No")</f>
        <v>Yes</v>
      </c>
      <c r="E42" s="16" t="n">
        <f aca="false">IF(D42="No",1,0)</f>
        <v>0</v>
      </c>
    </row>
    <row r="43" customFormat="false" ht="15" hidden="false" customHeight="false" outlineLevel="0" collapsed="false">
      <c r="A43" s="2" t="str">
        <f aca="false">Payments!A43</f>
        <v>EFT880005</v>
      </c>
      <c r="B43" s="2" t="str">
        <f aca="false">Payments!F43</f>
        <v>INV-10158</v>
      </c>
      <c r="C43" s="14" t="n">
        <f aca="false">Payments!D43</f>
        <v>2485.13</v>
      </c>
      <c r="D43" s="2" t="str">
        <f aca="false">IF(COUNTIF(Invoices!$A$2:$A$97,B43)&gt;0,"Yes","No")</f>
        <v>Yes</v>
      </c>
      <c r="E43" s="16" t="n">
        <f aca="false">IF(D43="No",1,0)</f>
        <v>0</v>
      </c>
    </row>
    <row r="44" customFormat="false" ht="15" hidden="false" customHeight="false" outlineLevel="0" collapsed="false">
      <c r="A44" s="2" t="str">
        <f aca="false">Payments!A44</f>
        <v>EFT880280</v>
      </c>
      <c r="B44" s="2" t="str">
        <f aca="false">Payments!F44</f>
        <v>INV-10155</v>
      </c>
      <c r="C44" s="14" t="n">
        <f aca="false">Payments!D44</f>
        <v>7042.61</v>
      </c>
      <c r="D44" s="2" t="str">
        <f aca="false">IF(COUNTIF(Invoices!$A$2:$A$97,B44)&gt;0,"Yes","No")</f>
        <v>Yes</v>
      </c>
      <c r="E44" s="16" t="n">
        <f aca="false">IF(D44="No",1,0)</f>
        <v>0</v>
      </c>
    </row>
    <row r="45" customFormat="false" ht="15" hidden="false" customHeight="false" outlineLevel="0" collapsed="false">
      <c r="A45" s="2" t="str">
        <f aca="false">Payments!A45</f>
        <v>EFT880012</v>
      </c>
      <c r="B45" s="2" t="str">
        <f aca="false">Payments!F45</f>
        <v>INV-10079</v>
      </c>
      <c r="C45" s="14" t="n">
        <f aca="false">Payments!D45</f>
        <v>7989.78</v>
      </c>
      <c r="D45" s="2" t="str">
        <f aca="false">IF(COUNTIF(Invoices!$A$2:$A$97,B45)&gt;0,"Yes","No")</f>
        <v>Yes</v>
      </c>
      <c r="E45" s="16" t="n">
        <f aca="false">IF(D45="No",1,0)</f>
        <v>0</v>
      </c>
    </row>
    <row r="46" customFormat="false" ht="15" hidden="false" customHeight="false" outlineLevel="0" collapsed="false">
      <c r="A46" s="2" t="str">
        <f aca="false">Payments!A46</f>
        <v>EFT880129</v>
      </c>
      <c r="B46" s="2" t="str">
        <f aca="false">Payments!F46</f>
        <v>INV-10057</v>
      </c>
      <c r="C46" s="14" t="n">
        <f aca="false">Payments!D46</f>
        <v>10058.97</v>
      </c>
      <c r="D46" s="2" t="str">
        <f aca="false">IF(COUNTIF(Invoices!$A$2:$A$97,B46)&gt;0,"Yes","No")</f>
        <v>Yes</v>
      </c>
      <c r="E46" s="16" t="n">
        <f aca="false">IF(D46="No",1,0)</f>
        <v>0</v>
      </c>
    </row>
    <row r="47" customFormat="false" ht="15" hidden="false" customHeight="false" outlineLevel="0" collapsed="false">
      <c r="A47" s="2" t="str">
        <f aca="false">Payments!A47</f>
        <v>EFT880241</v>
      </c>
      <c r="B47" s="2" t="str">
        <f aca="false">Payments!F47</f>
        <v>INV-10147</v>
      </c>
      <c r="C47" s="14" t="n">
        <f aca="false">Payments!D47</f>
        <v>9965.59</v>
      </c>
      <c r="D47" s="2" t="str">
        <f aca="false">IF(COUNTIF(Invoices!$A$2:$A$97,B47)&gt;0,"Yes","No")</f>
        <v>Yes</v>
      </c>
      <c r="E47" s="16" t="n">
        <f aca="false">IF(D47="No",1,0)</f>
        <v>0</v>
      </c>
    </row>
    <row r="48" customFormat="false" ht="15" hidden="false" customHeight="false" outlineLevel="0" collapsed="false">
      <c r="A48" s="2" t="str">
        <f aca="false">Payments!A48</f>
        <v>EFT880099</v>
      </c>
      <c r="B48" s="2" t="str">
        <f aca="false">Payments!F48</f>
        <v>INV-10013</v>
      </c>
      <c r="C48" s="14" t="n">
        <f aca="false">Payments!D48</f>
        <v>3212.32</v>
      </c>
      <c r="D48" s="2" t="str">
        <f aca="false">IF(COUNTIF(Invoices!$A$2:$A$97,B48)&gt;0,"Yes","No")</f>
        <v>Yes</v>
      </c>
      <c r="E48" s="16" t="n">
        <f aca="false">IF(D48="No",1,0)</f>
        <v>0</v>
      </c>
    </row>
    <row r="49" customFormat="false" ht="15" hidden="false" customHeight="false" outlineLevel="0" collapsed="false">
      <c r="A49" s="2" t="str">
        <f aca="false">Payments!A49</f>
        <v>EFT880143</v>
      </c>
      <c r="B49" s="2" t="str">
        <f aca="false">Payments!F49</f>
        <v>INV-10096</v>
      </c>
      <c r="C49" s="14" t="n">
        <f aca="false">Payments!D49</f>
        <v>13841.27</v>
      </c>
      <c r="D49" s="2" t="str">
        <f aca="false">IF(COUNTIF(Invoices!$A$2:$A$97,B49)&gt;0,"Yes","No")</f>
        <v>Yes</v>
      </c>
      <c r="E49" s="16" t="n">
        <f aca="false">IF(D49="No",1,0)</f>
        <v>0</v>
      </c>
    </row>
    <row r="50" customFormat="false" ht="15" hidden="false" customHeight="false" outlineLevel="0" collapsed="false">
      <c r="A50" s="2" t="str">
        <f aca="false">Payments!A50</f>
        <v>EFT880083</v>
      </c>
      <c r="B50" s="2" t="str">
        <f aca="false">Payments!F50</f>
        <v>INV-10170</v>
      </c>
      <c r="C50" s="14" t="n">
        <f aca="false">Payments!D50</f>
        <v>7330.49</v>
      </c>
      <c r="D50" s="2" t="str">
        <f aca="false">IF(COUNTIF(Invoices!$A$2:$A$97,B50)&gt;0,"Yes","No")</f>
        <v>Yes</v>
      </c>
      <c r="E50" s="16" t="n">
        <f aca="false">IF(D50="No",1,0)</f>
        <v>0</v>
      </c>
    </row>
    <row r="51" customFormat="false" ht="15" hidden="false" customHeight="false" outlineLevel="0" collapsed="false">
      <c r="A51" s="2" t="str">
        <f aca="false">Payments!A51</f>
        <v>EFT880197</v>
      </c>
      <c r="B51" s="2" t="str">
        <f aca="false">Payments!F51</f>
        <v>INV-10185</v>
      </c>
      <c r="C51" s="14" t="n">
        <f aca="false">Payments!D51</f>
        <v>5811.23</v>
      </c>
      <c r="D51" s="2" t="str">
        <f aca="false">IF(COUNTIF(Invoices!$A$2:$A$97,B51)&gt;0,"Yes","No")</f>
        <v>Yes</v>
      </c>
      <c r="E51" s="16" t="n">
        <f aca="false">IF(D51="No",1,0)</f>
        <v>0</v>
      </c>
    </row>
    <row r="52" customFormat="false" ht="15" hidden="false" customHeight="false" outlineLevel="0" collapsed="false">
      <c r="A52" s="2" t="str">
        <f aca="false">Payments!A52</f>
        <v>EFT880162</v>
      </c>
      <c r="B52" s="2" t="str">
        <f aca="false">Payments!F52</f>
        <v>INV-10021</v>
      </c>
      <c r="C52" s="14" t="n">
        <f aca="false">Payments!D52</f>
        <v>2236.95</v>
      </c>
      <c r="D52" s="2" t="str">
        <f aca="false">IF(COUNTIF(Invoices!$A$2:$A$97,B52)&gt;0,"Yes","No")</f>
        <v>Yes</v>
      </c>
      <c r="E52" s="16" t="n">
        <f aca="false">IF(D52="No",1,0)</f>
        <v>0</v>
      </c>
    </row>
    <row r="53" customFormat="false" ht="15" hidden="false" customHeight="false" outlineLevel="0" collapsed="false">
      <c r="A53" s="2" t="str">
        <f aca="false">Payments!A53</f>
        <v>EFT880229</v>
      </c>
      <c r="B53" s="2" t="str">
        <f aca="false">Payments!F53</f>
        <v>INV-10129</v>
      </c>
      <c r="C53" s="14" t="n">
        <f aca="false">Payments!D53</f>
        <v>11667.25</v>
      </c>
      <c r="D53" s="2" t="str">
        <f aca="false">IF(COUNTIF(Invoices!$A$2:$A$97,B53)&gt;0,"Yes","No")</f>
        <v>Yes</v>
      </c>
      <c r="E53" s="16" t="n">
        <f aca="false">IF(D53="No",1,0)</f>
        <v>0</v>
      </c>
    </row>
    <row r="54" customFormat="false" ht="15" hidden="false" customHeight="false" outlineLevel="0" collapsed="false">
      <c r="A54" s="2" t="str">
        <f aca="false">Payments!A54</f>
        <v>EFT880116</v>
      </c>
      <c r="B54" s="2" t="str">
        <f aca="false">Payments!F54</f>
        <v>INV-10110</v>
      </c>
      <c r="C54" s="14" t="n">
        <f aca="false">Payments!D54</f>
        <v>3242.21</v>
      </c>
      <c r="D54" s="2" t="str">
        <f aca="false">IF(COUNTIF(Invoices!$A$2:$A$97,B54)&gt;0,"Yes","No")</f>
        <v>Yes</v>
      </c>
      <c r="E54" s="16" t="n">
        <f aca="false">IF(D54="No",1,0)</f>
        <v>0</v>
      </c>
    </row>
    <row r="55" customFormat="false" ht="15" hidden="false" customHeight="false" outlineLevel="0" collapsed="false">
      <c r="A55" s="2" t="str">
        <f aca="false">Payments!A55</f>
        <v>EFT880170</v>
      </c>
      <c r="B55" s="2" t="str">
        <f aca="false">Payments!F55</f>
        <v>INV-10061</v>
      </c>
      <c r="C55" s="14" t="n">
        <f aca="false">Payments!D55</f>
        <v>1100.21</v>
      </c>
      <c r="D55" s="2" t="str">
        <f aca="false">IF(COUNTIF(Invoices!$A$2:$A$97,B55)&gt;0,"Yes","No")</f>
        <v>Yes</v>
      </c>
      <c r="E55" s="16" t="n">
        <f aca="false">IF(D55="No",1,0)</f>
        <v>0</v>
      </c>
    </row>
    <row r="56" customFormat="false" ht="15" hidden="false" customHeight="false" outlineLevel="0" collapsed="false">
      <c r="A56" s="2" t="str">
        <f aca="false">Payments!A56</f>
        <v>EFT880195</v>
      </c>
      <c r="B56" s="2" t="str">
        <f aca="false">Payments!F56</f>
        <v>INV-10074</v>
      </c>
      <c r="C56" s="14" t="n">
        <f aca="false">Payments!D56</f>
        <v>18317.75</v>
      </c>
      <c r="D56" s="2" t="str">
        <f aca="false">IF(COUNTIF(Invoices!$A$2:$A$97,B56)&gt;0,"Yes","No")</f>
        <v>Yes</v>
      </c>
      <c r="E56" s="16" t="n">
        <f aca="false">IF(D56="No",1,0)</f>
        <v>0</v>
      </c>
    </row>
    <row r="57" customFormat="false" ht="15" hidden="false" customHeight="false" outlineLevel="0" collapsed="false">
      <c r="A57" s="2" t="str">
        <f aca="false">Payments!A57</f>
        <v>EFT880298</v>
      </c>
      <c r="B57" s="2" t="str">
        <f aca="false">Payments!F57</f>
        <v>INV-10178</v>
      </c>
      <c r="C57" s="14" t="n">
        <f aca="false">Payments!D57</f>
        <v>2432.75</v>
      </c>
      <c r="D57" s="2" t="str">
        <f aca="false">IF(COUNTIF(Invoices!$A$2:$A$97,B57)&gt;0,"Yes","No")</f>
        <v>Yes</v>
      </c>
      <c r="E57" s="16" t="n">
        <f aca="false">IF(D57="No",1,0)</f>
        <v>0</v>
      </c>
    </row>
    <row r="58" customFormat="false" ht="15" hidden="false" customHeight="false" outlineLevel="0" collapsed="false">
      <c r="A58" s="2" t="str">
        <f aca="false">Payments!A58</f>
        <v>EFT880283</v>
      </c>
      <c r="B58" s="2" t="str">
        <f aca="false">Payments!F58</f>
        <v>INV-10031</v>
      </c>
      <c r="C58" s="14" t="n">
        <f aca="false">Payments!D58</f>
        <v>3261.44</v>
      </c>
      <c r="D58" s="2" t="str">
        <f aca="false">IF(COUNTIF(Invoices!$A$2:$A$97,B58)&gt;0,"Yes","No")</f>
        <v>Yes</v>
      </c>
      <c r="E58" s="16" t="n">
        <f aca="false">IF(D58="No",1,0)</f>
        <v>0</v>
      </c>
    </row>
    <row r="59" customFormat="false" ht="15" hidden="false" customHeight="false" outlineLevel="0" collapsed="false">
      <c r="A59" s="2" t="str">
        <f aca="false">Payments!A59</f>
        <v>EFT880211</v>
      </c>
      <c r="B59" s="2" t="str">
        <f aca="false">Payments!F59</f>
        <v>INV-10186</v>
      </c>
      <c r="C59" s="14" t="n">
        <f aca="false">Payments!D59</f>
        <v>4811.71</v>
      </c>
      <c r="D59" s="2" t="str">
        <f aca="false">IF(COUNTIF(Invoices!$A$2:$A$97,B59)&gt;0,"Yes","No")</f>
        <v>Yes</v>
      </c>
      <c r="E59" s="16" t="n">
        <f aca="false">IF(D59="No",1,0)</f>
        <v>0</v>
      </c>
    </row>
    <row r="60" customFormat="false" ht="15" hidden="false" customHeight="false" outlineLevel="0" collapsed="false">
      <c r="A60" s="2" t="str">
        <f aca="false">Payments!A60</f>
        <v>EFT880277</v>
      </c>
      <c r="B60" s="2" t="str">
        <f aca="false">Payments!F60</f>
        <v>INV-10019</v>
      </c>
      <c r="C60" s="14" t="n">
        <f aca="false">Payments!D60</f>
        <v>4395.62</v>
      </c>
      <c r="D60" s="2" t="str">
        <f aca="false">IF(COUNTIF(Invoices!$A$2:$A$97,B60)&gt;0,"Yes","No")</f>
        <v>Yes</v>
      </c>
      <c r="E60" s="16" t="n">
        <f aca="false">IF(D60="No",1,0)</f>
        <v>0</v>
      </c>
    </row>
    <row r="61" customFormat="false" ht="15" hidden="false" customHeight="false" outlineLevel="0" collapsed="false">
      <c r="A61" s="2" t="str">
        <f aca="false">Payments!A61</f>
        <v>EFT880228</v>
      </c>
      <c r="B61" s="2" t="str">
        <f aca="false">Payments!F61</f>
        <v>INV-10137</v>
      </c>
      <c r="C61" s="14" t="n">
        <f aca="false">Payments!D61</f>
        <v>2329.09</v>
      </c>
      <c r="D61" s="2" t="str">
        <f aca="false">IF(COUNTIF(Invoices!$A$2:$A$97,B61)&gt;0,"Yes","No")</f>
        <v>Yes</v>
      </c>
      <c r="E61" s="16" t="n">
        <f aca="false">IF(D61="No",1,0)</f>
        <v>0</v>
      </c>
    </row>
    <row r="62" customFormat="false" ht="15" hidden="false" customHeight="false" outlineLevel="0" collapsed="false">
      <c r="A62" s="2" t="str">
        <f aca="false">Payments!A62</f>
        <v>EFT880054</v>
      </c>
      <c r="B62" s="2" t="str">
        <f aca="false">Payments!F62</f>
        <v>INV-10124</v>
      </c>
      <c r="C62" s="14" t="n">
        <f aca="false">Payments!D62</f>
        <v>10187.43</v>
      </c>
      <c r="D62" s="2" t="str">
        <f aca="false">IF(COUNTIF(Invoices!$A$2:$A$97,B62)&gt;0,"Yes","No")</f>
        <v>Yes</v>
      </c>
      <c r="E62" s="16" t="n">
        <f aca="false">IF(D62="No",1,0)</f>
        <v>0</v>
      </c>
    </row>
    <row r="63" customFormat="false" ht="15" hidden="false" customHeight="false" outlineLevel="0" collapsed="false">
      <c r="A63" s="2" t="str">
        <f aca="false">Payments!A63</f>
        <v>EFT880110</v>
      </c>
      <c r="B63" s="2" t="str">
        <f aca="false">Payments!F63</f>
        <v>INV-10122</v>
      </c>
      <c r="C63" s="14" t="n">
        <f aca="false">Payments!D63</f>
        <v>13381.6</v>
      </c>
      <c r="D63" s="2" t="str">
        <f aca="false">IF(COUNTIF(Invoices!$A$2:$A$97,B63)&gt;0,"Yes","No")</f>
        <v>Yes</v>
      </c>
      <c r="E63" s="16" t="n">
        <f aca="false">IF(D63="No",1,0)</f>
        <v>0</v>
      </c>
    </row>
    <row r="64" customFormat="false" ht="15" hidden="false" customHeight="false" outlineLevel="0" collapsed="false">
      <c r="A64" s="2" t="str">
        <f aca="false">Payments!A64</f>
        <v>EFT880292</v>
      </c>
      <c r="B64" s="2" t="str">
        <f aca="false">Payments!F64</f>
        <v>INV-10119</v>
      </c>
      <c r="C64" s="14" t="n">
        <f aca="false">Payments!D64</f>
        <v>1477.7</v>
      </c>
      <c r="D64" s="2" t="str">
        <f aca="false">IF(COUNTIF(Invoices!$A$2:$A$97,B64)&gt;0,"Yes","No")</f>
        <v>Yes</v>
      </c>
      <c r="E64" s="16" t="n">
        <f aca="false">IF(D64="No",1,0)</f>
        <v>0</v>
      </c>
    </row>
    <row r="65" customFormat="false" ht="15" hidden="false" customHeight="false" outlineLevel="0" collapsed="false">
      <c r="A65" s="2" t="str">
        <f aca="false">Payments!A65</f>
        <v>EFT880124</v>
      </c>
      <c r="B65" s="2" t="str">
        <f aca="false">Payments!F65</f>
        <v>INV-10188</v>
      </c>
      <c r="C65" s="14" t="n">
        <f aca="false">Payments!D65</f>
        <v>17092.64</v>
      </c>
      <c r="D65" s="2" t="str">
        <f aca="false">IF(COUNTIF(Invoices!$A$2:$A$97,B65)&gt;0,"Yes","No")</f>
        <v>Yes</v>
      </c>
      <c r="E65" s="16" t="n">
        <f aca="false">IF(D65="No",1,0)</f>
        <v>0</v>
      </c>
    </row>
    <row r="66" customFormat="false" ht="15" hidden="false" customHeight="false" outlineLevel="0" collapsed="false">
      <c r="A66" s="2" t="str">
        <f aca="false">Payments!A66</f>
        <v>EFT880003</v>
      </c>
      <c r="B66" s="2" t="str">
        <f aca="false">Payments!F66</f>
        <v>INV-10041</v>
      </c>
      <c r="C66" s="14" t="n">
        <f aca="false">Payments!D66</f>
        <v>9012.91</v>
      </c>
      <c r="D66" s="2" t="str">
        <f aca="false">IF(COUNTIF(Invoices!$A$2:$A$97,B66)&gt;0,"Yes","No")</f>
        <v>Yes</v>
      </c>
      <c r="E66" s="16" t="n">
        <f aca="false">IF(D66="No",1,0)</f>
        <v>0</v>
      </c>
    </row>
    <row r="67" customFormat="false" ht="15" hidden="false" customHeight="false" outlineLevel="0" collapsed="false">
      <c r="A67" s="2" t="str">
        <f aca="false">Payments!A67</f>
        <v>EFT880273</v>
      </c>
      <c r="B67" s="2" t="str">
        <f aca="false">Payments!F67</f>
        <v>INV-10084</v>
      </c>
      <c r="C67" s="14" t="n">
        <f aca="false">Payments!D67</f>
        <v>2573.62</v>
      </c>
      <c r="D67" s="2" t="str">
        <f aca="false">IF(COUNTIF(Invoices!$A$2:$A$97,B67)&gt;0,"Yes","No")</f>
        <v>Yes</v>
      </c>
      <c r="E67" s="16" t="n">
        <f aca="false">IF(D67="No",1,0)</f>
        <v>0</v>
      </c>
    </row>
    <row r="68" customFormat="false" ht="15" hidden="false" customHeight="false" outlineLevel="0" collapsed="false">
      <c r="A68" s="2" t="str">
        <f aca="false">Payments!A68</f>
        <v>EFT880017</v>
      </c>
      <c r="B68" s="2" t="str">
        <f aca="false">Payments!F68</f>
        <v>INV-10032</v>
      </c>
      <c r="C68" s="14" t="n">
        <f aca="false">Payments!D68</f>
        <v>2681.34</v>
      </c>
      <c r="D68" s="2" t="str">
        <f aca="false">IF(COUNTIF(Invoices!$A$2:$A$97,B68)&gt;0,"Yes","No")</f>
        <v>Yes</v>
      </c>
      <c r="E68" s="16" t="n">
        <f aca="false">IF(D68="No",1,0)</f>
        <v>0</v>
      </c>
    </row>
    <row r="69" customFormat="false" ht="15" hidden="false" customHeight="false" outlineLevel="0" collapsed="false">
      <c r="A69" s="2" t="str">
        <f aca="false">Payments!A69</f>
        <v>EFT880136</v>
      </c>
      <c r="B69" s="2" t="str">
        <f aca="false">Payments!F69</f>
        <v>INV-10043</v>
      </c>
      <c r="C69" s="14" t="n">
        <f aca="false">Payments!D69</f>
        <v>3731.7</v>
      </c>
      <c r="D69" s="2" t="str">
        <f aca="false">IF(COUNTIF(Invoices!$A$2:$A$97,B69)&gt;0,"Yes","No")</f>
        <v>Yes</v>
      </c>
      <c r="E69" s="16" t="n">
        <f aca="false">IF(D69="No",1,0)</f>
        <v>0</v>
      </c>
    </row>
  </sheetData>
  <conditionalFormatting sqref="E2:E69">
    <cfRule type="expression" priority="2" aboveAverage="0" equalAverage="0" bottom="0" percent="0" rank="0" text="" dxfId="5">
      <formula>E2=1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28"/>
  </cols>
  <sheetData>
    <row r="1" customFormat="false" ht="26.85" hidden="false" customHeight="false" outlineLevel="0" collapsed="false">
      <c r="A1" s="9" t="s">
        <v>105</v>
      </c>
      <c r="B1" s="9" t="s">
        <v>106</v>
      </c>
      <c r="C1" s="9" t="s">
        <v>422</v>
      </c>
      <c r="D1" s="9" t="s">
        <v>423</v>
      </c>
      <c r="E1" s="9" t="s">
        <v>424</v>
      </c>
      <c r="F1" s="9" t="s">
        <v>425</v>
      </c>
      <c r="G1" s="9" t="s">
        <v>426</v>
      </c>
      <c r="H1" s="9" t="s">
        <v>427</v>
      </c>
    </row>
    <row r="2" customFormat="false" ht="15" hidden="false" customHeight="false" outlineLevel="0" collapsed="false">
      <c r="A2" s="2" t="s">
        <v>119</v>
      </c>
      <c r="B2" s="2" t="s">
        <v>131</v>
      </c>
      <c r="C2" s="2" t="s">
        <v>42</v>
      </c>
      <c r="D2" s="2"/>
      <c r="E2" s="2" t="s">
        <v>428</v>
      </c>
      <c r="F2" s="16" t="n">
        <f aca="false">IF(D2="",1,0)</f>
        <v>1</v>
      </c>
      <c r="G2" s="16" t="n">
        <f aca="false">IF(E2="",1,0)</f>
        <v>0</v>
      </c>
      <c r="H2" s="16" t="n">
        <f aca="false">IF(OR(IFERROR(INDEX(Vendors!$E$2:$E$11,MATCH(C2,Vendors!$A$2:$A$11,0)),"")="Inactive",IFERROR(INDEX(Vendors!$E$2:$E$11,MATCH(D2,Vendors!$A$2:$A$11,0)),"")="Inactive"),1,0)</f>
        <v>0</v>
      </c>
    </row>
    <row r="3" customFormat="false" ht="15" hidden="false" customHeight="false" outlineLevel="0" collapsed="false">
      <c r="A3" s="2" t="s">
        <v>119</v>
      </c>
      <c r="B3" s="2" t="s">
        <v>164</v>
      </c>
      <c r="C3" s="2" t="s">
        <v>57</v>
      </c>
      <c r="D3" s="2" t="s">
        <v>77</v>
      </c>
      <c r="E3" s="2" t="s">
        <v>429</v>
      </c>
      <c r="F3" s="16" t="n">
        <f aca="false">IF(D3="",1,0)</f>
        <v>0</v>
      </c>
      <c r="G3" s="16" t="n">
        <f aca="false">IF(E3="",1,0)</f>
        <v>0</v>
      </c>
      <c r="H3" s="16" t="n">
        <f aca="false">IF(OR(IFERROR(INDEX(Vendors!$E$2:$E$11,MATCH(C3,Vendors!$A$2:$A$11,0)),"")="Inactive",IFERROR(INDEX(Vendors!$E$2:$E$11,MATCH(D3,Vendors!$A$2:$A$11,0)),"")="Inactive"),1,0)</f>
        <v>1</v>
      </c>
    </row>
    <row r="4" customFormat="false" ht="15" hidden="false" customHeight="false" outlineLevel="0" collapsed="false">
      <c r="A4" s="2" t="s">
        <v>119</v>
      </c>
      <c r="B4" s="2" t="s">
        <v>140</v>
      </c>
      <c r="C4" s="2" t="s">
        <v>57</v>
      </c>
      <c r="D4" s="2" t="s">
        <v>77</v>
      </c>
      <c r="E4" s="2" t="s">
        <v>428</v>
      </c>
      <c r="F4" s="16" t="n">
        <f aca="false">IF(D4="",1,0)</f>
        <v>0</v>
      </c>
      <c r="G4" s="16" t="n">
        <f aca="false">IF(E4="",1,0)</f>
        <v>0</v>
      </c>
      <c r="H4" s="16" t="n">
        <f aca="false">IF(OR(IFERROR(INDEX(Vendors!$E$2:$E$11,MATCH(C4,Vendors!$A$2:$A$11,0)),"")="Inactive",IFERROR(INDEX(Vendors!$E$2:$E$11,MATCH(D4,Vendors!$A$2:$A$11,0)),"")="Inactive"),1,0)</f>
        <v>1</v>
      </c>
    </row>
    <row r="5" customFormat="false" ht="15" hidden="false" customHeight="false" outlineLevel="0" collapsed="false">
      <c r="A5" s="2" t="s">
        <v>124</v>
      </c>
      <c r="B5" s="2" t="s">
        <v>131</v>
      </c>
      <c r="C5" s="2" t="s">
        <v>42</v>
      </c>
      <c r="D5" s="2" t="s">
        <v>77</v>
      </c>
      <c r="E5" s="2"/>
      <c r="F5" s="16" t="n">
        <f aca="false">IF(D5="",1,0)</f>
        <v>0</v>
      </c>
      <c r="G5" s="16" t="n">
        <f aca="false">IF(E5="",1,0)</f>
        <v>1</v>
      </c>
      <c r="H5" s="16" t="n">
        <f aca="false">IF(OR(IFERROR(INDEX(Vendors!$E$2:$E$11,MATCH(C5,Vendors!$A$2:$A$11,0)),"")="Inactive",IFERROR(INDEX(Vendors!$E$2:$E$11,MATCH(D5,Vendors!$A$2:$A$11,0)),"")="Inactive"),1,0)</f>
        <v>1</v>
      </c>
    </row>
    <row r="6" customFormat="false" ht="15" hidden="false" customHeight="false" outlineLevel="0" collapsed="false">
      <c r="A6" s="2" t="s">
        <v>124</v>
      </c>
      <c r="B6" s="2" t="s">
        <v>164</v>
      </c>
      <c r="C6" s="2" t="s">
        <v>74</v>
      </c>
      <c r="D6" s="2" t="s">
        <v>48</v>
      </c>
      <c r="E6" s="2"/>
      <c r="F6" s="16" t="n">
        <f aca="false">IF(D6="",1,0)</f>
        <v>0</v>
      </c>
      <c r="G6" s="16" t="n">
        <f aca="false">IF(E6="",1,0)</f>
        <v>1</v>
      </c>
      <c r="H6" s="16" t="n">
        <f aca="false">IF(OR(IFERROR(INDEX(Vendors!$E$2:$E$11,MATCH(C6,Vendors!$A$2:$A$11,0)),"")="Inactive",IFERROR(INDEX(Vendors!$E$2:$E$11,MATCH(D6,Vendors!$A$2:$A$11,0)),"")="Inactive"),1,0)</f>
        <v>0</v>
      </c>
    </row>
    <row r="7" customFormat="false" ht="15" hidden="false" customHeight="false" outlineLevel="0" collapsed="false">
      <c r="A7" s="2" t="s">
        <v>111</v>
      </c>
      <c r="B7" s="2" t="s">
        <v>164</v>
      </c>
      <c r="C7" s="2" t="s">
        <v>68</v>
      </c>
      <c r="D7" s="2" t="s">
        <v>77</v>
      </c>
      <c r="E7" s="2" t="s">
        <v>429</v>
      </c>
      <c r="F7" s="16" t="n">
        <f aca="false">IF(D7="",1,0)</f>
        <v>0</v>
      </c>
      <c r="G7" s="16" t="n">
        <f aca="false">IF(E7="",1,0)</f>
        <v>0</v>
      </c>
      <c r="H7" s="16" t="n">
        <f aca="false">IF(OR(IFERROR(INDEX(Vendors!$E$2:$E$11,MATCH(C7,Vendors!$A$2:$A$11,0)),"")="Inactive",IFERROR(INDEX(Vendors!$E$2:$E$11,MATCH(D7,Vendors!$A$2:$A$11,0)),"")="Inactive"),1,0)</f>
        <v>1</v>
      </c>
    </row>
    <row r="8" customFormat="false" ht="15" hidden="false" customHeight="false" outlineLevel="0" collapsed="false">
      <c r="A8" s="2" t="s">
        <v>111</v>
      </c>
      <c r="B8" s="2" t="s">
        <v>140</v>
      </c>
      <c r="C8" s="2" t="s">
        <v>57</v>
      </c>
      <c r="D8" s="2" t="s">
        <v>48</v>
      </c>
      <c r="E8" s="2" t="s">
        <v>428</v>
      </c>
      <c r="F8" s="16" t="n">
        <f aca="false">IF(D8="",1,0)</f>
        <v>0</v>
      </c>
      <c r="G8" s="16" t="n">
        <f aca="false">IF(E8="",1,0)</f>
        <v>0</v>
      </c>
      <c r="H8" s="16" t="n">
        <f aca="false">IF(OR(IFERROR(INDEX(Vendors!$E$2:$E$11,MATCH(C8,Vendors!$A$2:$A$11,0)),"")="Inactive",IFERROR(INDEX(Vendors!$E$2:$E$11,MATCH(D8,Vendors!$A$2:$A$11,0)),"")="Inactive"),1,0)</f>
        <v>0</v>
      </c>
    </row>
    <row r="9" customFormat="false" ht="15" hidden="false" customHeight="false" outlineLevel="0" collapsed="false">
      <c r="A9" s="2" t="s">
        <v>133</v>
      </c>
      <c r="B9" s="2" t="s">
        <v>112</v>
      </c>
      <c r="C9" s="2" t="s">
        <v>57</v>
      </c>
      <c r="D9" s="2" t="s">
        <v>48</v>
      </c>
      <c r="E9" s="2" t="s">
        <v>429</v>
      </c>
      <c r="F9" s="16" t="n">
        <f aca="false">IF(D9="",1,0)</f>
        <v>0</v>
      </c>
      <c r="G9" s="16" t="n">
        <f aca="false">IF(E9="",1,0)</f>
        <v>0</v>
      </c>
      <c r="H9" s="16" t="n">
        <f aca="false">IF(OR(IFERROR(INDEX(Vendors!$E$2:$E$11,MATCH(C9,Vendors!$A$2:$A$11,0)),"")="Inactive",IFERROR(INDEX(Vendors!$E$2:$E$11,MATCH(D9,Vendors!$A$2:$A$11,0)),"")="Inactive"),1,0)</f>
        <v>0</v>
      </c>
    </row>
    <row r="10" customFormat="false" ht="15" hidden="false" customHeight="false" outlineLevel="0" collapsed="false">
      <c r="A10" s="2" t="s">
        <v>133</v>
      </c>
      <c r="B10" s="2" t="s">
        <v>131</v>
      </c>
      <c r="C10" s="2" t="s">
        <v>42</v>
      </c>
      <c r="D10" s="2" t="s">
        <v>48</v>
      </c>
      <c r="E10" s="2"/>
      <c r="F10" s="16" t="n">
        <f aca="false">IF(D10="",1,0)</f>
        <v>0</v>
      </c>
      <c r="G10" s="16" t="n">
        <f aca="false">IF(E10="",1,0)</f>
        <v>1</v>
      </c>
      <c r="H10" s="16" t="n">
        <f aca="false">IF(OR(IFERROR(INDEX(Vendors!$E$2:$E$11,MATCH(C10,Vendors!$A$2:$A$11,0)),"")="Inactive",IFERROR(INDEX(Vendors!$E$2:$E$11,MATCH(D10,Vendors!$A$2:$A$11,0)),"")="Inactive"),1,0)</f>
        <v>0</v>
      </c>
    </row>
    <row r="11" customFormat="false" ht="15" hidden="false" customHeight="false" outlineLevel="0" collapsed="false">
      <c r="A11" s="2" t="s">
        <v>133</v>
      </c>
      <c r="B11" s="2" t="s">
        <v>164</v>
      </c>
      <c r="C11" s="2" t="s">
        <v>57</v>
      </c>
      <c r="D11" s="2"/>
      <c r="E11" s="2" t="s">
        <v>429</v>
      </c>
      <c r="F11" s="16" t="n">
        <f aca="false">IF(D11="",1,0)</f>
        <v>1</v>
      </c>
      <c r="G11" s="16" t="n">
        <f aca="false">IF(E11="",1,0)</f>
        <v>0</v>
      </c>
      <c r="H11" s="16" t="n">
        <f aca="false">IF(OR(IFERROR(INDEX(Vendors!$E$2:$E$11,MATCH(C11,Vendors!$A$2:$A$11,0)),"")="Inactive",IFERROR(INDEX(Vendors!$E$2:$E$11,MATCH(D11,Vendors!$A$2:$A$11,0)),"")="Inactive"),1,0)</f>
        <v>0</v>
      </c>
    </row>
    <row r="12" customFormat="false" ht="15" hidden="false" customHeight="false" outlineLevel="0" collapsed="false">
      <c r="A12" s="2" t="s">
        <v>133</v>
      </c>
      <c r="B12" s="2" t="s">
        <v>140</v>
      </c>
      <c r="C12" s="2" t="s">
        <v>57</v>
      </c>
      <c r="D12" s="2"/>
      <c r="E12" s="2" t="s">
        <v>429</v>
      </c>
      <c r="F12" s="16" t="n">
        <f aca="false">IF(D12="",1,0)</f>
        <v>1</v>
      </c>
      <c r="G12" s="16" t="n">
        <f aca="false">IF(E12="",1,0)</f>
        <v>0</v>
      </c>
      <c r="H12" s="16" t="n">
        <f aca="false">IF(OR(IFERROR(INDEX(Vendors!$E$2:$E$11,MATCH(C12,Vendors!$A$2:$A$11,0)),"")="Inactive",IFERROR(INDEX(Vendors!$E$2:$E$11,MATCH(D12,Vendors!$A$2:$A$11,0)),"")="Inactive"),1,0)</f>
        <v>0</v>
      </c>
    </row>
    <row r="13" customFormat="false" ht="15" hidden="false" customHeight="false" outlineLevel="0" collapsed="false">
      <c r="A13" s="2" t="s">
        <v>115</v>
      </c>
      <c r="B13" s="2" t="s">
        <v>116</v>
      </c>
      <c r="C13" s="2" t="s">
        <v>57</v>
      </c>
      <c r="D13" s="2"/>
      <c r="E13" s="2"/>
      <c r="F13" s="16" t="n">
        <f aca="false">IF(D13="",1,0)</f>
        <v>1</v>
      </c>
      <c r="G13" s="16" t="n">
        <f aca="false">IF(E13="",1,0)</f>
        <v>1</v>
      </c>
      <c r="H13" s="16" t="n">
        <f aca="false">IF(OR(IFERROR(INDEX(Vendors!$E$2:$E$11,MATCH(C13,Vendors!$A$2:$A$11,0)),"")="Inactive",IFERROR(INDEX(Vendors!$E$2:$E$11,MATCH(D13,Vendors!$A$2:$A$11,0)),"")="Inactive"),1,0)</f>
        <v>0</v>
      </c>
    </row>
    <row r="14" customFormat="false" ht="15" hidden="false" customHeight="false" outlineLevel="0" collapsed="false">
      <c r="A14" s="2" t="s">
        <v>115</v>
      </c>
      <c r="B14" s="2" t="s">
        <v>112</v>
      </c>
      <c r="C14" s="2" t="s">
        <v>68</v>
      </c>
      <c r="D14" s="2" t="s">
        <v>48</v>
      </c>
      <c r="E14" s="2"/>
      <c r="F14" s="16" t="n">
        <f aca="false">IF(D14="",1,0)</f>
        <v>0</v>
      </c>
      <c r="G14" s="16" t="n">
        <f aca="false">IF(E14="",1,0)</f>
        <v>1</v>
      </c>
      <c r="H14" s="16" t="n">
        <f aca="false">IF(OR(IFERROR(INDEX(Vendors!$E$2:$E$11,MATCH(C14,Vendors!$A$2:$A$11,0)),"")="Inactive",IFERROR(INDEX(Vendors!$E$2:$E$11,MATCH(D14,Vendors!$A$2:$A$11,0)),"")="Inactive"),1,0)</f>
        <v>1</v>
      </c>
    </row>
    <row r="15" customFormat="false" ht="15" hidden="false" customHeight="false" outlineLevel="0" collapsed="false">
      <c r="A15" s="2" t="s">
        <v>115</v>
      </c>
      <c r="B15" s="2" t="s">
        <v>131</v>
      </c>
      <c r="C15" s="2" t="s">
        <v>68</v>
      </c>
      <c r="D15" s="2" t="s">
        <v>48</v>
      </c>
      <c r="E15" s="2" t="s">
        <v>428</v>
      </c>
      <c r="F15" s="16" t="n">
        <f aca="false">IF(D15="",1,0)</f>
        <v>0</v>
      </c>
      <c r="G15" s="16" t="n">
        <f aca="false">IF(E15="",1,0)</f>
        <v>0</v>
      </c>
      <c r="H15" s="16" t="n">
        <f aca="false">IF(OR(IFERROR(INDEX(Vendors!$E$2:$E$11,MATCH(C15,Vendors!$A$2:$A$11,0)),"")="Inactive",IFERROR(INDEX(Vendors!$E$2:$E$11,MATCH(D15,Vendors!$A$2:$A$11,0)),"")="Inactive"),1,0)</f>
        <v>1</v>
      </c>
    </row>
    <row r="16" customFormat="false" ht="15" hidden="false" customHeight="false" outlineLevel="0" collapsed="false">
      <c r="A16" s="2" t="s">
        <v>115</v>
      </c>
      <c r="B16" s="2" t="s">
        <v>140</v>
      </c>
      <c r="C16" s="2" t="s">
        <v>68</v>
      </c>
      <c r="D16" s="2"/>
      <c r="E16" s="2" t="s">
        <v>428</v>
      </c>
      <c r="F16" s="16" t="n">
        <f aca="false">IF(D16="",1,0)</f>
        <v>1</v>
      </c>
      <c r="G16" s="16" t="n">
        <f aca="false">IF(E16="",1,0)</f>
        <v>0</v>
      </c>
      <c r="H16" s="16" t="n">
        <f aca="false">IF(OR(IFERROR(INDEX(Vendors!$E$2:$E$11,MATCH(C16,Vendors!$A$2:$A$11,0)),"")="Inactive",IFERROR(INDEX(Vendors!$E$2:$E$11,MATCH(D16,Vendors!$A$2:$A$11,0)),"")="Inactive"),1,0)</f>
        <v>1</v>
      </c>
    </row>
  </sheetData>
  <conditionalFormatting sqref="F2:H16">
    <cfRule type="expression" priority="2" aboveAverage="0" equalAverage="0" bottom="0" percent="0" rank="0" text="" dxfId="5">
      <formula>F2=1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0" t="s">
        <v>430</v>
      </c>
      <c r="B1" s="10" t="s">
        <v>431</v>
      </c>
      <c r="C1" s="10" t="s">
        <v>432</v>
      </c>
      <c r="D1" s="10" t="s">
        <v>433</v>
      </c>
    </row>
    <row r="2" customFormat="false" ht="15" hidden="false" customHeight="false" outlineLevel="0" collapsed="false">
      <c r="A2" s="2" t="s">
        <v>434</v>
      </c>
      <c r="B2" s="2" t="n">
        <f aca="false">SUM(Checks!$M$2:$M$97)</f>
        <v>4</v>
      </c>
      <c r="C2" s="14" t="n">
        <f aca="false">SUMIFS(Checks!$K$2:$K$97,Checks!$M$2:$M$97,1)</f>
        <v>37619.05</v>
      </c>
      <c r="D2" s="2" t="s">
        <v>435</v>
      </c>
    </row>
    <row r="3" customFormat="false" ht="15" hidden="false" customHeight="false" outlineLevel="0" collapsed="false">
      <c r="A3" s="2" t="s">
        <v>436</v>
      </c>
      <c r="B3" s="2" t="n">
        <f aca="false">SUM(Checks!$O$2:$O$97)</f>
        <v>2</v>
      </c>
      <c r="C3" s="14" t="n">
        <f aca="false">SUMIFS(Checks!$K$2:$K$97,Checks!$O$2:$O$97,1)</f>
        <v>11458.35</v>
      </c>
      <c r="D3" s="2" t="s">
        <v>437</v>
      </c>
    </row>
    <row r="4" customFormat="false" ht="15" hidden="false" customHeight="false" outlineLevel="0" collapsed="false">
      <c r="A4" s="2" t="s">
        <v>438</v>
      </c>
      <c r="B4" s="2" t="n">
        <f aca="false">SUM(Checks!$P$2:$P$97)</f>
        <v>8</v>
      </c>
      <c r="C4" s="14" t="n">
        <f aca="false">SUMIFS(Checks!$K$2:$K$97,Checks!$P$2:$P$97,1)</f>
        <v>38730.8</v>
      </c>
      <c r="D4" s="2" t="s">
        <v>439</v>
      </c>
    </row>
    <row r="5" customFormat="false" ht="15" hidden="false" customHeight="false" outlineLevel="0" collapsed="false">
      <c r="A5" s="2" t="s">
        <v>440</v>
      </c>
      <c r="B5" s="2" t="n">
        <f aca="false">SUM(Checks!$Q$2:$Q$97)</f>
        <v>0</v>
      </c>
      <c r="C5" s="14" t="n">
        <f aca="false">SUMIFS(Checks!$K$2:$K$97,Checks!$Q$2:$Q$97,1)</f>
        <v>0</v>
      </c>
      <c r="D5" s="2" t="s">
        <v>441</v>
      </c>
    </row>
    <row r="6" customFormat="false" ht="15" hidden="false" customHeight="false" outlineLevel="0" collapsed="false">
      <c r="A6" s="2" t="s">
        <v>442</v>
      </c>
      <c r="B6" s="2" t="n">
        <f aca="false">SUM(Checks!$R$2:$R$97)</f>
        <v>0</v>
      </c>
      <c r="C6" s="14" t="n">
        <f aca="false">SUMIFS(Checks!$K$2:$K$97,Checks!$R$2:$R$97,1)</f>
        <v>0</v>
      </c>
      <c r="D6" s="2" t="s">
        <v>443</v>
      </c>
    </row>
    <row r="7" customFormat="false" ht="15" hidden="false" customHeight="false" outlineLevel="0" collapsed="false">
      <c r="A7" s="2" t="s">
        <v>444</v>
      </c>
      <c r="B7" s="2" t="n">
        <f aca="false">SUM(Checks!$S$2:$S$97)</f>
        <v>5</v>
      </c>
      <c r="C7" s="14" t="n">
        <f aca="false">SUMIFS(Checks!$K$2:$K$97,Checks!$S$2:$S$97,1)</f>
        <v>52844</v>
      </c>
      <c r="D7" s="2" t="s">
        <v>445</v>
      </c>
    </row>
    <row r="8" customFormat="false" ht="15" hidden="false" customHeight="false" outlineLevel="0" collapsed="false">
      <c r="A8" s="2" t="s">
        <v>446</v>
      </c>
      <c r="B8" s="2" t="n">
        <f aca="false">SUM(Checks!$T$2:$T$97)</f>
        <v>5</v>
      </c>
      <c r="C8" s="14" t="n">
        <f aca="false">SUMIFS(Checks!$K$2:$K$97,Checks!$T$2:$T$97,1)</f>
        <v>26104.18</v>
      </c>
      <c r="D8" s="2" t="s">
        <v>447</v>
      </c>
    </row>
    <row r="9" customFormat="false" ht="15" hidden="false" customHeight="false" outlineLevel="0" collapsed="false">
      <c r="A9" s="2" t="s">
        <v>448</v>
      </c>
      <c r="B9" s="2" t="n">
        <f aca="false">SUM(Checks!$U$2:$U$97)</f>
        <v>0</v>
      </c>
      <c r="C9" s="14" t="n">
        <f aca="false">SUMIFS(Checks!$J$2:$J$97,Checks!$U$2:$U$97,1)</f>
        <v>0</v>
      </c>
      <c r="D9" s="2" t="s">
        <v>449</v>
      </c>
    </row>
    <row r="10" customFormat="false" ht="15" hidden="false" customHeight="false" outlineLevel="0" collapsed="false">
      <c r="A10" s="2" t="s">
        <v>450</v>
      </c>
      <c r="B10" s="2" t="n">
        <f aca="false">SUM(Checks!$V$2:$V$97)</f>
        <v>8</v>
      </c>
      <c r="C10" s="14" t="n">
        <f aca="false">SUMIFS(Checks!$K$2:$K$97,Checks!$V$2:$V$97,1)</f>
        <v>41793.23</v>
      </c>
      <c r="D10" s="2" t="s">
        <v>451</v>
      </c>
    </row>
    <row r="11" customFormat="false" ht="15" hidden="false" customHeight="false" outlineLevel="0" collapsed="false">
      <c r="A11" s="2" t="s">
        <v>452</v>
      </c>
      <c r="B11" s="2" t="n">
        <f aca="false">SUM(Checks!$X$2:$X$97)</f>
        <v>2</v>
      </c>
      <c r="C11" s="14" t="n">
        <f aca="false">SUMIFS(Checks!$W$2:$W$97,Checks!$X$2:$X$97,1)</f>
        <v>10872.78</v>
      </c>
      <c r="D11" s="2" t="s">
        <v>453</v>
      </c>
    </row>
    <row r="12" customFormat="false" ht="15" hidden="false" customHeight="false" outlineLevel="0" collapsed="false">
      <c r="A12" s="2" t="s">
        <v>454</v>
      </c>
      <c r="B12" s="2" t="n">
        <f aca="false">SUM(Checks!$Y$2:$Y$97)</f>
        <v>20</v>
      </c>
      <c r="C12" s="14" t="n">
        <f aca="false">SUMIFS(Checks!$K$2:$K$97,Checks!$Y$2:$Y$97,1)</f>
        <v>172409.58</v>
      </c>
      <c r="D12" s="2" t="s">
        <v>455</v>
      </c>
    </row>
    <row r="13" customFormat="false" ht="15" hidden="false" customHeight="false" outlineLevel="0" collapsed="false">
      <c r="A13" s="2" t="s">
        <v>456</v>
      </c>
      <c r="B13" s="2" t="n">
        <f aca="false">SUM(Payment_Checks!$E$2:$E$69)</f>
        <v>2</v>
      </c>
      <c r="C13" s="14" t="n">
        <f aca="false">SUMIFS(Payment_Checks!$C$2:$C$69,Payment_Checks!$E$2:$E$69,1)</f>
        <v>2017.55</v>
      </c>
      <c r="D13" s="2" t="s">
        <v>457</v>
      </c>
    </row>
    <row r="14" customFormat="false" ht="15" hidden="false" customHeight="false" outlineLevel="0" collapsed="false">
      <c r="A14" s="2" t="s">
        <v>458</v>
      </c>
      <c r="B14" s="2" t="n">
        <f aca="false">SUM(Mapping_Checks!$F$2:$F$16)</f>
        <v>5</v>
      </c>
      <c r="C14" s="14" t="s">
        <v>459</v>
      </c>
      <c r="D14" s="2" t="s">
        <v>460</v>
      </c>
    </row>
    <row r="15" customFormat="false" ht="15" hidden="false" customHeight="false" outlineLevel="0" collapsed="false">
      <c r="A15" s="2" t="s">
        <v>461</v>
      </c>
      <c r="B15" s="2" t="n">
        <f aca="false">SUM(Mapping_Checks!$G$2:$G$16)</f>
        <v>5</v>
      </c>
      <c r="C15" s="14" t="s">
        <v>459</v>
      </c>
      <c r="D15" s="2" t="s">
        <v>462</v>
      </c>
    </row>
    <row r="16" customFormat="false" ht="15" hidden="false" customHeight="false" outlineLevel="0" collapsed="false">
      <c r="A16" s="2" t="s">
        <v>463</v>
      </c>
      <c r="B16" s="2" t="n">
        <f aca="false">SUM(Mapping_Checks!$H$2:$H$16)</f>
        <v>7</v>
      </c>
      <c r="C16" s="14" t="s">
        <v>459</v>
      </c>
      <c r="D16" s="2" t="s">
        <v>464</v>
      </c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1" t="s">
        <v>17</v>
      </c>
      <c r="B18" s="1" t="n">
        <f aca="false">COUNTIF(Checks!$Z$2:$Z$97,"&gt;0")</f>
        <v>42</v>
      </c>
      <c r="C18" s="2"/>
      <c r="D18" s="2"/>
    </row>
    <row r="19" customFormat="false" ht="15" hidden="false" customHeight="false" outlineLevel="0" collapsed="false">
      <c r="A19" s="1" t="s">
        <v>465</v>
      </c>
      <c r="B19" s="1" t="n">
        <f aca="false">COUNTA(Checks!$A$2:$A$97)</f>
        <v>96</v>
      </c>
      <c r="C19" s="2"/>
      <c r="D19" s="2"/>
    </row>
    <row r="21" customFormat="false" ht="15" hidden="false" customHeight="false" outlineLevel="0" collapsed="false">
      <c r="A21" s="13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0" t="s">
        <v>33</v>
      </c>
      <c r="B1" s="10" t="s">
        <v>34</v>
      </c>
      <c r="C1" s="10" t="s">
        <v>37</v>
      </c>
      <c r="D1" s="10" t="s">
        <v>467</v>
      </c>
      <c r="E1" s="10" t="s">
        <v>468</v>
      </c>
      <c r="F1" s="10" t="s">
        <v>469</v>
      </c>
      <c r="G1" s="10" t="s">
        <v>21</v>
      </c>
      <c r="H1" s="10" t="s">
        <v>470</v>
      </c>
    </row>
    <row r="2" customFormat="false" ht="15" hidden="false" customHeight="false" outlineLevel="0" collapsed="false">
      <c r="A2" s="2" t="s">
        <v>42</v>
      </c>
      <c r="B2" s="2" t="str">
        <f aca="false">IFERROR(INDEX(Vendors!$B$2:$B$11,MATCH(A2,Vendors!$A$2:$A$11,0)),"Not in vendor master")</f>
        <v>Northbridge Print Services</v>
      </c>
      <c r="C2" s="2" t="str">
        <f aca="false">IFERROR(INDEX(Vendors!$E$2:$E$11,MATCH(A2,Vendors!$A$2:$A$11,0)),"")</f>
        <v>Active</v>
      </c>
      <c r="D2" s="2" t="n">
        <f aca="false">COUNTIFS(Checks!$C$2:$C$97,A2,Checks!$M$2:$M$97,0)</f>
        <v>9</v>
      </c>
      <c r="E2" s="17" t="n">
        <f aca="false">SUMIFS(Checks!$K$2:$K$97,Checks!$C$2:$C$97,A2,Checks!$M$2:$M$97,0)</f>
        <v>44714.29</v>
      </c>
      <c r="F2" s="17" t="n">
        <f aca="false">SUMIFS(Checks!$W$2:$W$97,Checks!$C$2:$C$97,A2,Checks!$M$2:$M$97,0)</f>
        <v>29702.81</v>
      </c>
      <c r="G2" s="17" t="n">
        <f aca="false">E2-F2</f>
        <v>15011.48</v>
      </c>
      <c r="H2" s="2" t="n">
        <f aca="false">COUNTIFS(Checks!$C$2:$C$97,A2,Checks!$Z$2:$Z$97,"&gt;0")</f>
        <v>3</v>
      </c>
    </row>
    <row r="3" customFormat="false" ht="15" hidden="false" customHeight="false" outlineLevel="0" collapsed="false">
      <c r="A3" s="2" t="s">
        <v>48</v>
      </c>
      <c r="B3" s="2" t="str">
        <f aca="false">IFERROR(INDEX(Vendors!$B$2:$B$11,MATCH(A3,Vendors!$A$2:$A$11,0)),"Not in vendor master")</f>
        <v>Maple Mailing Solutions</v>
      </c>
      <c r="C3" s="2" t="str">
        <f aca="false">IFERROR(INDEX(Vendors!$E$2:$E$11,MATCH(A3,Vendors!$A$2:$A$11,0)),"")</f>
        <v>Active</v>
      </c>
      <c r="D3" s="2" t="n">
        <f aca="false">COUNTIFS(Checks!$C$2:$C$97,A3,Checks!$M$2:$M$97,0)</f>
        <v>19</v>
      </c>
      <c r="E3" s="17" t="n">
        <f aca="false">SUMIFS(Checks!$K$2:$K$97,Checks!$C$2:$C$97,A3,Checks!$M$2:$M$97,0)</f>
        <v>136419.67</v>
      </c>
      <c r="F3" s="17" t="n">
        <f aca="false">SUMIFS(Checks!$W$2:$W$97,Checks!$C$2:$C$97,A3,Checks!$M$2:$M$97,0)</f>
        <v>75045.4</v>
      </c>
      <c r="G3" s="17" t="n">
        <f aca="false">E3-F3</f>
        <v>61374.27</v>
      </c>
      <c r="H3" s="2" t="n">
        <f aca="false">COUNTIFS(Checks!$C$2:$C$97,A3,Checks!$Z$2:$Z$97,"&gt;0")</f>
        <v>11</v>
      </c>
    </row>
    <row r="4" customFormat="false" ht="15" hidden="false" customHeight="false" outlineLevel="0" collapsed="false">
      <c r="A4" s="2" t="s">
        <v>52</v>
      </c>
      <c r="B4" s="2" t="str">
        <f aca="false">IFERROR(INDEX(Vendors!$B$2:$B$11,MATCH(A4,Vendors!$A$2:$A$11,0)),"Not in vendor master")</f>
        <v>Lakeshore Envelope Co.</v>
      </c>
      <c r="C4" s="2" t="str">
        <f aca="false">IFERROR(INDEX(Vendors!$E$2:$E$11,MATCH(A4,Vendors!$A$2:$A$11,0)),"")</f>
        <v>Active</v>
      </c>
      <c r="D4" s="2" t="n">
        <f aca="false">COUNTIFS(Checks!$C$2:$C$97,A4,Checks!$M$2:$M$97,0)</f>
        <v>12</v>
      </c>
      <c r="E4" s="17" t="n">
        <f aca="false">SUMIFS(Checks!$K$2:$K$97,Checks!$C$2:$C$97,A4,Checks!$M$2:$M$97,0)</f>
        <v>52420.88</v>
      </c>
      <c r="F4" s="17" t="n">
        <f aca="false">SUMIFS(Checks!$W$2:$W$97,Checks!$C$2:$C$97,A4,Checks!$M$2:$M$97,0)</f>
        <v>35916.49</v>
      </c>
      <c r="G4" s="17" t="n">
        <f aca="false">E4-F4</f>
        <v>16504.39</v>
      </c>
      <c r="H4" s="2" t="n">
        <f aca="false">COUNTIFS(Checks!$C$2:$C$97,A4,Checks!$Z$2:$Z$97,"&gt;0")</f>
        <v>4</v>
      </c>
    </row>
    <row r="5" customFormat="false" ht="15" hidden="false" customHeight="false" outlineLevel="0" collapsed="false">
      <c r="A5" s="2" t="s">
        <v>57</v>
      </c>
      <c r="B5" s="2" t="str">
        <f aca="false">IFERROR(INDEX(Vendors!$B$2:$B$11,MATCH(A5,Vendors!$A$2:$A$11,0)),"Not in vendor master")</f>
        <v>Summit Digital Print Inc.</v>
      </c>
      <c r="C5" s="2" t="str">
        <f aca="false">IFERROR(INDEX(Vendors!$E$2:$E$11,MATCH(A5,Vendors!$A$2:$A$11,0)),"")</f>
        <v>Active</v>
      </c>
      <c r="D5" s="2" t="n">
        <f aca="false">COUNTIFS(Checks!$C$2:$C$97,A5,Checks!$M$2:$M$97,0)</f>
        <v>12</v>
      </c>
      <c r="E5" s="17" t="n">
        <f aca="false">SUMIFS(Checks!$K$2:$K$97,Checks!$C$2:$C$97,A5,Checks!$M$2:$M$97,0)</f>
        <v>72748.45</v>
      </c>
      <c r="F5" s="17" t="n">
        <f aca="false">SUMIFS(Checks!$W$2:$W$97,Checks!$C$2:$C$97,A5,Checks!$M$2:$M$97,0)</f>
        <v>53143.36</v>
      </c>
      <c r="G5" s="17" t="n">
        <f aca="false">E5-F5</f>
        <v>19605.09</v>
      </c>
      <c r="H5" s="2" t="n">
        <f aca="false">COUNTIFS(Checks!$C$2:$C$97,A5,Checks!$Z$2:$Z$97,"&gt;0")</f>
        <v>3</v>
      </c>
    </row>
    <row r="6" customFormat="false" ht="15" hidden="false" customHeight="false" outlineLevel="0" collapsed="false">
      <c r="A6" s="2" t="s">
        <v>60</v>
      </c>
      <c r="B6" s="2" t="str">
        <f aca="false">IFERROR(INDEX(Vendors!$B$2:$B$11,MATCH(A6,Vendors!$A$2:$A$11,0)),"Not in vendor master")</f>
        <v>Harbourview Postage Ltd.</v>
      </c>
      <c r="C6" s="2" t="str">
        <f aca="false">IFERROR(INDEX(Vendors!$E$2:$E$11,MATCH(A6,Vendors!$A$2:$A$11,0)),"")</f>
        <v>Active</v>
      </c>
      <c r="D6" s="2" t="n">
        <f aca="false">COUNTIFS(Checks!$C$2:$C$97,A6,Checks!$M$2:$M$97,0)</f>
        <v>9</v>
      </c>
      <c r="E6" s="17" t="n">
        <f aca="false">SUMIFS(Checks!$K$2:$K$97,Checks!$C$2:$C$97,A6,Checks!$M$2:$M$97,0)</f>
        <v>81929.04</v>
      </c>
      <c r="F6" s="17" t="n">
        <f aca="false">SUMIFS(Checks!$W$2:$W$97,Checks!$C$2:$C$97,A6,Checks!$M$2:$M$97,0)</f>
        <v>38459.98</v>
      </c>
      <c r="G6" s="17" t="n">
        <f aca="false">E6-F6</f>
        <v>43469.06</v>
      </c>
      <c r="H6" s="2" t="n">
        <f aca="false">COUNTIFS(Checks!$C$2:$C$97,A6,Checks!$Z$2:$Z$97,"&gt;0")</f>
        <v>6</v>
      </c>
    </row>
    <row r="7" customFormat="false" ht="15" hidden="false" customHeight="false" outlineLevel="0" collapsed="false">
      <c r="A7" s="2" t="s">
        <v>64</v>
      </c>
      <c r="B7" s="2" t="str">
        <f aca="false">IFERROR(INDEX(Vendors!$B$2:$B$11,MATCH(A7,Vendors!$A$2:$A$11,0)),"Not in vendor master")</f>
        <v>Cedarline Paper Supply</v>
      </c>
      <c r="C7" s="2" t="str">
        <f aca="false">IFERROR(INDEX(Vendors!$E$2:$E$11,MATCH(A7,Vendors!$A$2:$A$11,0)),"")</f>
        <v>Active</v>
      </c>
      <c r="D7" s="2" t="n">
        <f aca="false">COUNTIFS(Checks!$C$2:$C$97,A7,Checks!$M$2:$M$97,0)</f>
        <v>11</v>
      </c>
      <c r="E7" s="17" t="n">
        <f aca="false">SUMIFS(Checks!$K$2:$K$97,Checks!$C$2:$C$97,A7,Checks!$M$2:$M$97,0)</f>
        <v>125079.76</v>
      </c>
      <c r="F7" s="17" t="n">
        <f aca="false">SUMIFS(Checks!$W$2:$W$97,Checks!$C$2:$C$97,A7,Checks!$M$2:$M$97,0)</f>
        <v>93927.99</v>
      </c>
      <c r="G7" s="17" t="n">
        <f aca="false">E7-F7</f>
        <v>31151.77</v>
      </c>
      <c r="H7" s="2" t="n">
        <f aca="false">COUNTIFS(Checks!$C$2:$C$97,A7,Checks!$Z$2:$Z$97,"&gt;0")</f>
        <v>4</v>
      </c>
    </row>
    <row r="8" customFormat="false" ht="15" hidden="false" customHeight="false" outlineLevel="0" collapsed="false">
      <c r="A8" s="2" t="s">
        <v>68</v>
      </c>
      <c r="B8" s="2" t="str">
        <f aca="false">IFERROR(INDEX(Vendors!$B$2:$B$11,MATCH(A8,Vendors!$A$2:$A$11,0)),"Not in vendor master")</f>
        <v>Redwood Document Services</v>
      </c>
      <c r="C8" s="2" t="str">
        <f aca="false">IFERROR(INDEX(Vendors!$E$2:$E$11,MATCH(A8,Vendors!$A$2:$A$11,0)),"")</f>
        <v>Inactive</v>
      </c>
      <c r="D8" s="2" t="n">
        <f aca="false">COUNTIFS(Checks!$C$2:$C$97,A8,Checks!$M$2:$M$97,0)</f>
        <v>4</v>
      </c>
      <c r="E8" s="17" t="n">
        <f aca="false">SUMIFS(Checks!$K$2:$K$97,Checks!$C$2:$C$97,A8,Checks!$M$2:$M$97,0)</f>
        <v>23019.38</v>
      </c>
      <c r="F8" s="17" t="n">
        <f aca="false">SUMIFS(Checks!$W$2:$W$97,Checks!$C$2:$C$97,A8,Checks!$M$2:$M$97,0)</f>
        <v>15771.04</v>
      </c>
      <c r="G8" s="17" t="n">
        <f aca="false">E8-F8</f>
        <v>7248.34</v>
      </c>
      <c r="H8" s="2" t="n">
        <f aca="false">COUNTIFS(Checks!$C$2:$C$97,A8,Checks!$Z$2:$Z$97,"&gt;0")</f>
        <v>4</v>
      </c>
    </row>
    <row r="9" customFormat="false" ht="15" hidden="false" customHeight="false" outlineLevel="0" collapsed="false">
      <c r="A9" s="2" t="s">
        <v>71</v>
      </c>
      <c r="B9" s="2" t="str">
        <f aca="false">IFERROR(INDEX(Vendors!$B$2:$B$11,MATCH(A9,Vendors!$A$2:$A$11,0)),"Not in vendor master")</f>
        <v>ClearPath Fulfillment</v>
      </c>
      <c r="C9" s="2" t="str">
        <f aca="false">IFERROR(INDEX(Vendors!$E$2:$E$11,MATCH(A9,Vendors!$A$2:$A$11,0)),"")</f>
        <v>Active</v>
      </c>
      <c r="D9" s="2" t="n">
        <f aca="false">COUNTIFS(Checks!$C$2:$C$97,A9,Checks!$M$2:$M$97,0)</f>
        <v>8</v>
      </c>
      <c r="E9" s="17" t="n">
        <f aca="false">SUMIFS(Checks!$K$2:$K$97,Checks!$C$2:$C$97,A9,Checks!$M$2:$M$97,0)</f>
        <v>69403.12</v>
      </c>
      <c r="F9" s="17" t="n">
        <f aca="false">SUMIFS(Checks!$W$2:$W$97,Checks!$C$2:$C$97,A9,Checks!$M$2:$M$97,0)</f>
        <v>62328.05</v>
      </c>
      <c r="G9" s="17" t="n">
        <f aca="false">E9-F9</f>
        <v>7075.06999999999</v>
      </c>
      <c r="H9" s="2" t="n">
        <f aca="false">COUNTIFS(Checks!$C$2:$C$97,A9,Checks!$Z$2:$Z$97,"&gt;0")</f>
        <v>1</v>
      </c>
    </row>
    <row r="10" customFormat="false" ht="15" hidden="false" customHeight="false" outlineLevel="0" collapsed="false">
      <c r="A10" s="2" t="s">
        <v>74</v>
      </c>
      <c r="B10" s="2" t="str">
        <f aca="false">IFERROR(INDEX(Vendors!$B$2:$B$11,MATCH(A10,Vendors!$A$2:$A$11,0)),"Not in vendor master")</f>
        <v>Granite Press Ltd.</v>
      </c>
      <c r="C10" s="2" t="str">
        <f aca="false">IFERROR(INDEX(Vendors!$E$2:$E$11,MATCH(A10,Vendors!$A$2:$A$11,0)),"")</f>
        <v>Active</v>
      </c>
      <c r="D10" s="2" t="n">
        <f aca="false">COUNTIFS(Checks!$C$2:$C$97,A10,Checks!$M$2:$M$97,0)</f>
        <v>3</v>
      </c>
      <c r="E10" s="17" t="n">
        <f aca="false">SUMIFS(Checks!$K$2:$K$97,Checks!$C$2:$C$97,A10,Checks!$M$2:$M$97,0)</f>
        <v>21910.04</v>
      </c>
      <c r="F10" s="17" t="n">
        <f aca="false">SUMIFS(Checks!$W$2:$W$97,Checks!$C$2:$C$97,A10,Checks!$M$2:$M$97,0)</f>
        <v>21910.04</v>
      </c>
      <c r="G10" s="17" t="n">
        <f aca="false">E10-F10</f>
        <v>0</v>
      </c>
      <c r="H10" s="2" t="n">
        <f aca="false">COUNTIFS(Checks!$C$2:$C$97,A10,Checks!$Z$2:$Z$97,"&gt;0")</f>
        <v>0</v>
      </c>
    </row>
    <row r="11" customFormat="false" ht="15" hidden="false" customHeight="false" outlineLevel="0" collapsed="false">
      <c r="A11" s="2" t="s">
        <v>77</v>
      </c>
      <c r="B11" s="2" t="str">
        <f aca="false">IFERROR(INDEX(Vendors!$B$2:$B$11,MATCH(A11,Vendors!$A$2:$A$11,0)),"Not in vendor master")</f>
        <v>Bluewater Data Mail</v>
      </c>
      <c r="C11" s="2" t="str">
        <f aca="false">IFERROR(INDEX(Vendors!$E$2:$E$11,MATCH(A11,Vendors!$A$2:$A$11,0)),"")</f>
        <v>Inactive</v>
      </c>
      <c r="D11" s="2" t="n">
        <f aca="false">COUNTIFS(Checks!$C$2:$C$97,A11,Checks!$M$2:$M$97,0)</f>
        <v>3</v>
      </c>
      <c r="E11" s="17" t="n">
        <f aca="false">SUMIFS(Checks!$K$2:$K$97,Checks!$C$2:$C$97,A11,Checks!$M$2:$M$97,0)</f>
        <v>15561.53</v>
      </c>
      <c r="F11" s="17" t="n">
        <f aca="false">SUMIFS(Checks!$W$2:$W$97,Checks!$C$2:$C$97,A11,Checks!$M$2:$M$97,0)</f>
        <v>14768.08</v>
      </c>
      <c r="G11" s="17" t="n">
        <f aca="false">E11-F11</f>
        <v>793.450000000001</v>
      </c>
      <c r="H11" s="2" t="n">
        <f aca="false">COUNTIFS(Checks!$C$2:$C$97,A11,Checks!$Z$2:$Z$97,"&gt;0")</f>
        <v>4</v>
      </c>
    </row>
    <row r="12" customFormat="false" ht="15" hidden="false" customHeight="false" outlineLevel="0" collapsed="false">
      <c r="A12" s="2" t="s">
        <v>471</v>
      </c>
      <c r="B12" s="2" t="str">
        <f aca="false">IFERROR(INDEX(Vendors!$B$2:$B$11,MATCH(A12,Vendors!$A$2:$A$11,0)),"Not in vendor master")</f>
        <v>Not in vendor master</v>
      </c>
      <c r="C12" s="2" t="str">
        <f aca="false">IFERROR(INDEX(Vendors!$E$2:$E$11,MATCH(A12,Vendors!$A$2:$A$11,0)),"")</f>
        <v/>
      </c>
      <c r="D12" s="2" t="n">
        <f aca="false">COUNTIFS(Checks!$C$2:$C$97,A12,Checks!$M$2:$M$97,0)</f>
        <v>2</v>
      </c>
      <c r="E12" s="17" t="n">
        <f aca="false">SUMIFS(Checks!$K$2:$K$97,Checks!$C$2:$C$97,A12,Checks!$M$2:$M$97,0)</f>
        <v>11458.35</v>
      </c>
      <c r="F12" s="17" t="n">
        <f aca="false">SUMIFS(Checks!$W$2:$W$97,Checks!$C$2:$C$97,A12,Checks!$M$2:$M$97,0)</f>
        <v>0</v>
      </c>
      <c r="G12" s="17" t="n">
        <f aca="false">E12-F12</f>
        <v>11458.35</v>
      </c>
      <c r="H12" s="2" t="n">
        <f aca="false">COUNTIFS(Checks!$C$2:$C$97,A12,Checks!$Z$2:$Z$97,"&gt;0")</f>
        <v>2</v>
      </c>
    </row>
    <row r="13" customFormat="false" ht="15" hidden="false" customHeight="false" outlineLevel="0" collapsed="false">
      <c r="A13" s="1" t="s">
        <v>472</v>
      </c>
      <c r="D13" s="1" t="n">
        <f aca="false">SUM(D2:D12)</f>
        <v>92</v>
      </c>
      <c r="E13" s="18" t="n">
        <f aca="false">SUM(E2:E12)</f>
        <v>654664.51</v>
      </c>
      <c r="F13" s="18" t="n">
        <f aca="false">SUM(F2:F12)</f>
        <v>440973.24</v>
      </c>
      <c r="G13" s="18" t="n">
        <f aca="false">SUM(G2:G12)</f>
        <v>213691.27</v>
      </c>
      <c r="H13" s="1" t="n">
        <f aca="false">SUM(H2:H12)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9" t="s">
        <v>473</v>
      </c>
      <c r="B1" s="9" t="s">
        <v>474</v>
      </c>
      <c r="C1" s="9" t="s">
        <v>475</v>
      </c>
      <c r="D1" s="9" t="s">
        <v>476</v>
      </c>
    </row>
    <row r="2" customFormat="false" ht="15" hidden="false" customHeight="false" outlineLevel="0" collapsed="false">
      <c r="A2" s="2" t="s">
        <v>477</v>
      </c>
      <c r="B2" s="2" t="s">
        <v>187</v>
      </c>
      <c r="C2" s="2" t="s">
        <v>478</v>
      </c>
      <c r="D2" s="2" t="s">
        <v>479</v>
      </c>
    </row>
    <row r="3" customFormat="false" ht="15" hidden="false" customHeight="false" outlineLevel="0" collapsed="false">
      <c r="A3" s="2" t="s">
        <v>477</v>
      </c>
      <c r="B3" s="2" t="s">
        <v>188</v>
      </c>
      <c r="C3" s="2" t="s">
        <v>480</v>
      </c>
      <c r="D3" s="2" t="s">
        <v>481</v>
      </c>
    </row>
    <row r="4" customFormat="false" ht="15" hidden="false" customHeight="false" outlineLevel="0" collapsed="false">
      <c r="A4" s="2" t="s">
        <v>477</v>
      </c>
      <c r="B4" s="2" t="s">
        <v>189</v>
      </c>
      <c r="C4" s="2" t="s">
        <v>482</v>
      </c>
      <c r="D4" s="2" t="s">
        <v>483</v>
      </c>
    </row>
    <row r="5" customFormat="false" ht="15" hidden="false" customHeight="false" outlineLevel="0" collapsed="false">
      <c r="A5" s="2" t="s">
        <v>477</v>
      </c>
      <c r="B5" s="2" t="s">
        <v>484</v>
      </c>
      <c r="C5" s="2" t="s">
        <v>482</v>
      </c>
      <c r="D5" s="2" t="s">
        <v>485</v>
      </c>
    </row>
    <row r="6" customFormat="false" ht="15" hidden="false" customHeight="false" outlineLevel="0" collapsed="false">
      <c r="A6" s="2" t="s">
        <v>486</v>
      </c>
      <c r="B6" s="2" t="s">
        <v>33</v>
      </c>
      <c r="C6" s="2" t="s">
        <v>487</v>
      </c>
      <c r="D6" s="2" t="s">
        <v>488</v>
      </c>
    </row>
    <row r="7" customFormat="false" ht="15" hidden="false" customHeight="false" outlineLevel="0" collapsed="false">
      <c r="A7" s="2" t="s">
        <v>486</v>
      </c>
      <c r="B7" s="2" t="s">
        <v>406</v>
      </c>
      <c r="C7" s="2" t="s">
        <v>489</v>
      </c>
      <c r="D7" s="2" t="s">
        <v>490</v>
      </c>
    </row>
    <row r="8" customFormat="false" ht="15" hidden="false" customHeight="false" outlineLevel="0" collapsed="false">
      <c r="A8" s="2" t="s">
        <v>486</v>
      </c>
      <c r="B8" s="2" t="s">
        <v>407</v>
      </c>
      <c r="C8" s="2" t="s">
        <v>477</v>
      </c>
      <c r="D8" s="2" t="s">
        <v>491</v>
      </c>
    </row>
    <row r="9" customFormat="false" ht="15" hidden="false" customHeight="false" outlineLevel="0" collapsed="false">
      <c r="A9" s="2" t="s">
        <v>486</v>
      </c>
      <c r="B9" s="2" t="s">
        <v>408</v>
      </c>
      <c r="C9" s="2" t="s">
        <v>486</v>
      </c>
      <c r="D9" s="2" t="s">
        <v>492</v>
      </c>
    </row>
    <row r="10" customFormat="false" ht="15" hidden="false" customHeight="false" outlineLevel="0" collapsed="false">
      <c r="A10" s="2" t="s">
        <v>486</v>
      </c>
      <c r="B10" s="2" t="s">
        <v>413</v>
      </c>
      <c r="C10" s="2" t="s">
        <v>493</v>
      </c>
      <c r="D10" s="2" t="s">
        <v>494</v>
      </c>
    </row>
    <row r="11" customFormat="false" ht="15" hidden="false" customHeight="false" outlineLevel="0" collapsed="false">
      <c r="A11" s="2" t="s">
        <v>486</v>
      </c>
      <c r="B11" s="2" t="s">
        <v>414</v>
      </c>
      <c r="C11" s="2" t="s">
        <v>477</v>
      </c>
      <c r="D11" s="2" t="s">
        <v>495</v>
      </c>
    </row>
    <row r="12" customFormat="false" ht="15" hidden="false" customHeight="false" outlineLevel="0" collapsed="false">
      <c r="A12" s="2" t="s">
        <v>486</v>
      </c>
      <c r="B12" s="2" t="s">
        <v>415</v>
      </c>
      <c r="C12" s="2" t="s">
        <v>496</v>
      </c>
      <c r="D12" s="2" t="s">
        <v>497</v>
      </c>
    </row>
    <row r="13" customFormat="false" ht="15" hidden="false" customHeight="false" outlineLevel="0" collapsed="false">
      <c r="A13" s="2" t="s">
        <v>486</v>
      </c>
      <c r="B13" s="2" t="s">
        <v>302</v>
      </c>
      <c r="C13" s="2" t="s">
        <v>498</v>
      </c>
      <c r="D13" s="2" t="s">
        <v>499</v>
      </c>
    </row>
    <row r="14" customFormat="false" ht="15" hidden="false" customHeight="false" outlineLevel="0" collapsed="false">
      <c r="A14" s="2" t="s">
        <v>486</v>
      </c>
      <c r="B14" s="2" t="s">
        <v>418</v>
      </c>
      <c r="C14" s="2" t="s">
        <v>500</v>
      </c>
      <c r="D14" s="2" t="s">
        <v>501</v>
      </c>
    </row>
    <row r="15" customFormat="false" ht="15" hidden="false" customHeight="false" outlineLevel="0" collapsed="false">
      <c r="A15" s="2" t="s">
        <v>498</v>
      </c>
      <c r="B15" s="2" t="s">
        <v>304</v>
      </c>
      <c r="C15" s="2" t="s">
        <v>502</v>
      </c>
      <c r="D15" s="2" t="s">
        <v>503</v>
      </c>
    </row>
    <row r="16" customFormat="false" ht="15" hidden="false" customHeight="false" outlineLevel="0" collapsed="false">
      <c r="A16" s="2" t="s">
        <v>487</v>
      </c>
      <c r="B16" s="2" t="s">
        <v>504</v>
      </c>
      <c r="C16" s="2" t="s">
        <v>505</v>
      </c>
      <c r="D16" s="2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2026-10-29T14:15:05Z</dcterms:created>
  <dc:creator>openpyxl</dc:creator>
  <dc:description/>
  <dc:language>en-US</dc:language>
  <cp:lastModifiedBy/>
  <dcterms:modified xsi:type="dcterms:W3CDTF">2026-10-29T10:15:08Z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